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k25063738/Named_entity_algorithm_project/Excel_file/"/>
    </mc:Choice>
  </mc:AlternateContent>
  <xr:revisionPtr revIDLastSave="0" documentId="8_{0BF32BD6-105E-8D46-A93C-55F16D89EAB4}" xr6:coauthVersionLast="47" xr6:coauthVersionMax="47" xr10:uidLastSave="{00000000-0000-0000-0000-000000000000}"/>
  <bookViews>
    <workbookView xWindow="20780" yWindow="5900" windowWidth="27640" windowHeight="16940" xr2:uid="{658919FD-496C-3C47-BE31-5EFDA43CCB1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80" i="1" l="1"/>
  <c r="BF80" i="1"/>
  <c r="BT79" i="1"/>
  <c r="BF79" i="1"/>
  <c r="BT78" i="1"/>
  <c r="BF78" i="1"/>
  <c r="BT77" i="1"/>
  <c r="BF77" i="1"/>
  <c r="BT76" i="1"/>
  <c r="BF76" i="1"/>
  <c r="BT75" i="1"/>
  <c r="BF75" i="1"/>
  <c r="BT74" i="1"/>
  <c r="BF74" i="1"/>
  <c r="BT73" i="1"/>
  <c r="BF73" i="1"/>
  <c r="BT72" i="1"/>
  <c r="BF72" i="1"/>
  <c r="BT71" i="1"/>
  <c r="BF71" i="1"/>
  <c r="BT70" i="1"/>
  <c r="BF70" i="1"/>
  <c r="BT69" i="1"/>
  <c r="BF69" i="1"/>
  <c r="BT68" i="1"/>
  <c r="BF68" i="1"/>
  <c r="BT67" i="1"/>
  <c r="BF67" i="1"/>
  <c r="BT66" i="1"/>
  <c r="BF66" i="1"/>
  <c r="BT65" i="1"/>
  <c r="BF65" i="1"/>
  <c r="BT64" i="1"/>
  <c r="BF64" i="1"/>
  <c r="BT63" i="1"/>
  <c r="BF63" i="1"/>
  <c r="BT62" i="1"/>
  <c r="BF62" i="1"/>
  <c r="BT61" i="1"/>
  <c r="BF61" i="1"/>
  <c r="BT60" i="1"/>
  <c r="BF60" i="1"/>
  <c r="BT59" i="1"/>
  <c r="BF59" i="1"/>
  <c r="BT58" i="1"/>
  <c r="BF58" i="1"/>
  <c r="BT57" i="1"/>
  <c r="BF57" i="1"/>
  <c r="BT56" i="1"/>
  <c r="BF56" i="1"/>
  <c r="BT55" i="1"/>
  <c r="BF55" i="1"/>
  <c r="BT54" i="1"/>
  <c r="BF54" i="1"/>
  <c r="BT53" i="1"/>
  <c r="BF53" i="1"/>
  <c r="BT52" i="1"/>
  <c r="BF52" i="1"/>
  <c r="BT51" i="1"/>
  <c r="BF51" i="1"/>
  <c r="BT50" i="1"/>
  <c r="BF50" i="1"/>
  <c r="BT49" i="1"/>
  <c r="BF49" i="1"/>
  <c r="BT48" i="1"/>
  <c r="BF48" i="1"/>
  <c r="BT47" i="1"/>
  <c r="BF47" i="1"/>
  <c r="BT46" i="1"/>
  <c r="BF46" i="1"/>
  <c r="BT45" i="1"/>
  <c r="BF45" i="1"/>
  <c r="BT44" i="1"/>
  <c r="BF44" i="1"/>
  <c r="BT43" i="1"/>
  <c r="BF43" i="1"/>
  <c r="BT42" i="1"/>
  <c r="BF42" i="1"/>
  <c r="BT41" i="1"/>
  <c r="BF41" i="1"/>
  <c r="BT40" i="1"/>
  <c r="BF40" i="1"/>
  <c r="BT39" i="1"/>
  <c r="BF39" i="1"/>
  <c r="BT38" i="1"/>
  <c r="BF38" i="1"/>
  <c r="BT37" i="1"/>
  <c r="BF37" i="1"/>
  <c r="BT36" i="1"/>
  <c r="BF36" i="1"/>
  <c r="BT35" i="1"/>
  <c r="BF35" i="1"/>
  <c r="BT34" i="1"/>
  <c r="BF34" i="1"/>
  <c r="BT33" i="1"/>
  <c r="BF33" i="1"/>
  <c r="BT32" i="1"/>
  <c r="BF32" i="1"/>
  <c r="BT31" i="1"/>
  <c r="BF31" i="1"/>
  <c r="BT30" i="1"/>
  <c r="BF30" i="1"/>
  <c r="BT29" i="1"/>
  <c r="BF29" i="1"/>
  <c r="BT28" i="1"/>
  <c r="BF28" i="1"/>
  <c r="BT27" i="1"/>
  <c r="BF27" i="1"/>
  <c r="BT26" i="1"/>
  <c r="BF26" i="1"/>
  <c r="BT25" i="1"/>
  <c r="BF25" i="1"/>
  <c r="BT24" i="1"/>
  <c r="BF24" i="1"/>
  <c r="BT23" i="1"/>
  <c r="BF23" i="1"/>
  <c r="BT22" i="1"/>
  <c r="BF22" i="1"/>
  <c r="BT21" i="1"/>
  <c r="BF21" i="1"/>
  <c r="BT20" i="1"/>
  <c r="BF20" i="1"/>
  <c r="BT19" i="1"/>
  <c r="BF19" i="1"/>
  <c r="BT18" i="1"/>
  <c r="BF18" i="1"/>
  <c r="BT17" i="1"/>
  <c r="BF17" i="1"/>
  <c r="BT16" i="1"/>
  <c r="BF16" i="1"/>
  <c r="BT15" i="1"/>
  <c r="BF15" i="1"/>
  <c r="BT14" i="1"/>
  <c r="BF14" i="1"/>
  <c r="BT13" i="1"/>
  <c r="BF13" i="1"/>
  <c r="BT12" i="1"/>
  <c r="BF12" i="1"/>
  <c r="BT11" i="1"/>
  <c r="BF11" i="1"/>
  <c r="BT10" i="1"/>
  <c r="BF10" i="1"/>
  <c r="BT9" i="1"/>
  <c r="BF9" i="1"/>
  <c r="BT8" i="1"/>
  <c r="BF8" i="1"/>
  <c r="BT7" i="1"/>
  <c r="BF7" i="1"/>
  <c r="BT6" i="1"/>
  <c r="BF6" i="1"/>
  <c r="BT5" i="1"/>
  <c r="BF5" i="1"/>
  <c r="BT4" i="1"/>
  <c r="BF4" i="1"/>
  <c r="BT3" i="1"/>
  <c r="BF3" i="1"/>
  <c r="BT2" i="1"/>
  <c r="BF2" i="1"/>
</calcChain>
</file>

<file path=xl/sharedStrings.xml><?xml version="1.0" encoding="utf-8"?>
<sst xmlns="http://schemas.openxmlformats.org/spreadsheetml/2006/main" count="5317" uniqueCount="833">
  <si>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</si>
  <si>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</si>
  <si>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</si>
  <si>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</si>
  <si>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</si>
  <si>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</si>
  <si>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</si>
  <si>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</si>
  <si>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</si>
  <si>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</si>
  <si>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</si>
  <si>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</si>
  <si>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</si>
  <si>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</si>
  <si>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</si>
  <si>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</si>
  <si>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</si>
  <si>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</si>
  <si>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</si>
  <si>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</si>
  <si>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</si>
  <si>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</si>
  <si>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</si>
  <si>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</si>
  <si>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</si>
  <si>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</si>
  <si>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</si>
  <si>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</si>
  <si>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</si>
  <si>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</si>
  <si>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</si>
  <si>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</si>
  <si>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</si>
  <si>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</si>
  <si>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</si>
  <si>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</si>
  <si>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</si>
  <si>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</si>
  <si>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</si>
  <si>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</si>
  <si>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</si>
  <si>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</si>
  <si>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</si>
  <si>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</si>
  <si>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</si>
  <si>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</si>
  <si>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</si>
  <si>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</si>
  <si>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</si>
  <si>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</si>
  <si>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</si>
  <si>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</si>
  <si>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</si>
  <si>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</si>
  <si>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</si>
  <si>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</si>
  <si>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</si>
  <si>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</si>
  <si>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</si>
  <si>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</si>
  <si>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</si>
  <si>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</si>
  <si>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</si>
  <si>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</si>
  <si>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</si>
  <si>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</si>
  <si>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</si>
  <si>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</si>
  <si>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</si>
  <si>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</si>
  <si>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</si>
  <si>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</si>
  <si>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</si>
  <si>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Irfan, M; Saeed, A; Belfield, KD; Bibi, F; Khalid, U; Islam, MZE; Danish, Z; Khalid, K</t>
  </si>
  <si>
    <t/>
  </si>
  <si>
    <t>Irfan, Madiha; Saeed, Aamer; Belfield, Kevin D.; Bibi, Fehmeeda; Khalid, Usama; Islam, Muhammad Zikar E.; Danish, Zeeshan; Khalid, Khadija</t>
  </si>
  <si>
    <t>Squaraine dye: Promising strategies to boost power conversion efficiencies of OPV cells</t>
  </si>
  <si>
    <t>DYES AND PIGMENTS</t>
  </si>
  <si>
    <t>Organic photovoltaic cells (OPVs) are one of the most promising technologies in the field of renewable energy. Bulk heterojunction (BHJ), dye-sensitized solar cells (DSSCs) and Perovskite solar cells (PKSCs) are recent OPVs that have attracted a lot of attention in the sustainable energy field. Squaraine is an important class of organic dyes with efficient absorption and stability in the visible and near infrared regions. Because of this ability, squaraine is a vital candidate for its photovoltaic applications in organic solar cells (OSCs). Both symmetrical and unsymmetrical squaraine dyes (SQ &amp; USQ) could be used as a donor or acceptor unit in different layers of these solar cells as a light absorption moiety. In this article, we've thoroughly discussed the recent advances of a squaraine dye in BHJ solar cells, ternary organic solar cells (TOSCs), quaternary organic solar cells (QOSCs), tandem organic solar cells (TDOSCs), DSSCs and PKSCs. We've mainly focused on the power conversion efficiency (PCE) of these devices that are greatly affected by varying the skeleton of squaraine such as side chain, aryl groups, end-cappers, anchoring groups and phenylene linkers along with other processing conditions. These factors improve the photovoltaic properties of organic solar cells such as open-circuit voltage (Voc), short circuit current (Jsc), fill factor (FF), charge carriers' mobility and light harvesting capability, ultimately boost up the PCE. In this review, we've elaborated all the factors that will be helpful for a researcher community to construct an efficient, low-cost, eco-friendly and reliable OPVs.</t>
  </si>
  <si>
    <t>Irfan, Dr. Madiha/AAP-2595-2021; Belfield, Kevin/D-4765-2009</t>
  </si>
  <si>
    <t>0143-7208</t>
  </si>
  <si>
    <t>1873-3743</t>
  </si>
  <si>
    <t>FEB</t>
  </si>
  <si>
    <t>10.1016/j.dyepig.2025.113207</t>
  </si>
  <si>
    <t>WOS:001568946200001</t>
  </si>
  <si>
    <t>Lv, J; Yang, GD; Cao, XQ; Xu, XY; Han, D; Zakhidov, E; Jiang, HX; Liu, DY; Sun, ML</t>
  </si>
  <si>
    <t>Lv, Jing; Yang, Guodong; Cao, Xuanqing; Xu, Xinyue; Han, Dong; Zakhidov, Erkin; Jiang, Huanxiang; Liu, Deyu; Sun, Mingliang</t>
  </si>
  <si>
    <t>Isomeric phenyl side chain based small molecule for optimizing morphology of ternary organic solar cells</t>
  </si>
  <si>
    <t>SOLAR ENERGY MATERIALS AND SOLAR CELLS</t>
  </si>
  <si>
    <t>Optimizing morphology is essential to enhancing the performance of ternary organic solar cells (TOSCs). Incorporating a third component with suitable crystallinity and aggregation to regulate TOSC morphology proves to be an efficient method for improving device efficiency. In this work, two multifunctional donor small molecules with phenyl isomeric side chains, L1 (C4-Ph) and L2 (Ph-C4), are employed as guest components in the PM6:Y6-based ternary system. The impact of the phenyl positions in their molecular structures on molecular crystallinity, aggregation, and morphology of the TOSC is systematically investigated. The results indicate that the incorporation of 10 wt% L1 significantly improves the morphology of the blend film. Specifically, L1 disrupts the excessive aggregation of PM6 long-chain molecules, improves donor-acceptor compatibility, and reduces phase separation size in the active layer film. Exciton dissociation and charge transport in the active layer are promoted, and the final power conversion efficiency (PCE) increases from 15.97 % to 17.23 %. It is shown that the crystallinity and aggregation of the small molecule donor can be precisely regulated by the side-chain structure, which promotes its synergistic effect with the polymer donor. This approach provides an innovative idea for controlling the morphology of the active layer and improving the device performance.</t>
  </si>
  <si>
    <t>0927-0248</t>
  </si>
  <si>
    <t>1879-3398</t>
  </si>
  <si>
    <t>JAN 15</t>
  </si>
  <si>
    <t>10.1016/j.solmat.2025.113997</t>
  </si>
  <si>
    <t>WOS:001594008800001</t>
  </si>
  <si>
    <t>Yoo, J; Lee, E; Kim, S; Chen, MC; Kim, C; Seo, S</t>
  </si>
  <si>
    <t>Yoo, Junyeop; Lee, Eunjeong; Kim, Sejoong; Chen, Ming-Chou; Kim, Choongik; Seo, Sungyong</t>
  </si>
  <si>
    <t>Molecular engineering of acetylenic dithieno[3,2-b:2′,3′-d]thiophene derivatives for organic field-effect transistors</t>
  </si>
  <si>
    <t>MATERIALS SCIENCE IN SEMICONDUCTOR PROCESSING</t>
  </si>
  <si>
    <t>In this study, we report a series of dithieno[3,2-b:2 ',3 '-d]thiophene (DTT)-based small molecules featuring five different end-capping substituents: 2-octyl-6-(5-(phenylethynyl)thiophen-2-yl)dithieno[3,2-b:2 ',3 '-d]thiophene (compound 1), triisopropyl((5-(6-octyldithieno[3,2-b:2 ',3 '-d]thiophen-2-yl)thiophen-2-yl)ethynyl)silane (compound 2), 2-octyl-6-(5-(thiophen-2-ylethynyl)thiophen-2-yl)dithieno[3,2-b:2 ',3 '-d]thiophene (compound 3), 2octyl-6-(5-((5-octylthiophen-2-yl)ethynyl)thiophen-2-yl)dithieno[3,2-b:2 ',3 '-d]thiophene (compound 4), and 2(5-((5-(2-ethylhexyl)thiophen-2-yl)ethynyl)thiophen-2-yl)-6-octyldithieno[3,2-b:2 ',3 '-d]thiophene (compound 5). To enhance solubility, one-sided linear octyl chain was introduced on the DTT core, while extended it-conjugation was achieved through the incorporation of additional thiophene rings and acetylenic linkages to promote effective charge transport. The thermal stability, optical absorption, and redox characteristics of the synthesized molecules were studied via thermogravimetric analysis (TGA), differential scanning calorimetry (DSC), UV-vis spectroscopy, and cyclic voltammetry (CV). The DTT thin films formed via solution shearing were characterized by atomic force microscopy (AFM) and X-ray diffraction (XRD) to examine surface topology and molecular arrangement. When implemented as active materials in organic field-effect transistors (OFETs), all five compounds displayed p-type semiconducting behavior. Among them, compound 3, which possesses a thienyl terminal group without bulky alkyl side chains, exhibited the most favorable charge transport characteristics under ambient atmosphere, attaining a carrier mobility of 0.036 cm2 V-1 s- 1 and an on/off current ratio above 106. These observations underscore the importance of rational side-chain modification in optimizing molecular assembly and film crystallinity to enhance OFET performance.</t>
  </si>
  <si>
    <t>1369-8001</t>
  </si>
  <si>
    <t>1873-4081</t>
  </si>
  <si>
    <t>JAN</t>
  </si>
  <si>
    <t>10.1016/j.mssp.2025.110051</t>
  </si>
  <si>
    <t>WOS:001573432900001</t>
  </si>
  <si>
    <t>Hirotsu, Y; Thomas, ML; Takeoka, Y; Rikukawa, M; Yoshizawa-Fujita, M</t>
  </si>
  <si>
    <t>Hirotsu, Yoshifumi; Thomas, Morgan L.; Takeoka, Yuko; Rikukawa, Masahiro; Yoshizawa-Fujita, Masahiro</t>
  </si>
  <si>
    <t>Effect of cation side-chain structure on the physicochemical properties of pyrrolidinium-based electrolytes upon mixing with sodium salt</t>
  </si>
  <si>
    <t>SCIENCE AND TECHNOLOGY OF ADVANCED MATERIALS</t>
  </si>
  <si>
    <t>In recent years, the development of next-generation secondary batteries employing resource-abundant metals such as Na has garnered significant attention. However, the high reactivity of Na raises safety concerns, necessitating the development of safer devices. To address this, ionic liquids (ILs) and organic ionic plastic crystals (OIPCs) have emerged as promising novel electrolytes. Despite their potential, studies investigating the influence of cation structures on various properties remain scarce, particularly in composites where Na salts are introduced into OIPCs. This study focuses on the effects of cation species and Na-salt concentration in OIPCs, specifically in N,N-diethylpyrrolidinium bis(fluorosulfonyl)amide ([C2epyr][FSA]) and N-ethyl-N-isopropylpyrrolidinium bis(fluorosulfonyl)amide ([Ci3epyr][FSA]), with the addition of sodium bis(fluorosulfonyl)amide (NaFSA). The phase transition behavior, dissociation state of Na salts, and electrochemical properties exhibited significant differences based on the cationic structure of the OIPCs. The combination of each OIPC with Na salt resulted in liquid mixtures, and the ionic conductivity increased significantly as the Na salt concentration increased. High ionic conductivities were achieved with [C2epyr][FSA]/NaFSA (20 mol%) and [Ci3epyr][FSA]/NaFSA (10 mol%), showing values of 2.7 x 10-3 and 2.2 x 10-3 S cm-1 at 25 degrees C, respectively. Linear sweep voltammetry results indicated superior oxidative stability in the [Ci3epyr][FSA] system. Solvation numbers of Na+, influenced by differences in cationic side-chain structures, were determined to be 2.7 for the [C2epyr]+ system and 2.9 for the [Ci3epyr]+ system. The results suggest that controlling solvation numbers is a critical factor in the molecular design of high-performance ionic conductors.</t>
  </si>
  <si>
    <t>Rikukawa, Masahiro/I-9415-2017; Yoshizawa-Fujita, Masahiro/J-5859-2014</t>
  </si>
  <si>
    <t>Yoshizawa-Fujita, Masahiro/0000-0002-8269-985X</t>
  </si>
  <si>
    <t>1468-6996</t>
  </si>
  <si>
    <t>1878-5514</t>
  </si>
  <si>
    <t>DEC 31</t>
  </si>
  <si>
    <t>10.1080/14686996.2025.2466417</t>
  </si>
  <si>
    <t>WOS:001437382400001</t>
  </si>
  <si>
    <t>Shaheen, I; Chiu, WH; Chen, SH; Lee, KM</t>
  </si>
  <si>
    <t>Shaheen, Iqra; Chiu, Wei-Hao; Chen, Shih-Hsuan; Lee, Kun-Mu</t>
  </si>
  <si>
    <t>MOF- &amp; COF-integrated composite separators/membranes: innovations for sustainable and high-performance redox flow batteries</t>
  </si>
  <si>
    <t>SEPARATION AND PURIFICATION TECHNOLOGY</t>
  </si>
  <si>
    <t>Advancements in membrane engineering are perceived as the primary concern for leading redox flow batteries (RFBs) to large-scale energy storage technology. Separators/Membranes that offer balanced trade-offs between permeability and selectivity, with controlled wettability, solvent resistance, and robustness, have emerged as promising materials for separation in RFBs. Traditional ion exchange membranes (IEMs), like Nafion, are prone to high permeability to active species and high costs, which limit their commercial viability and the overall performance of RFBs. Over the past decade, the development of non-ionic/porous membranes has garnered tremendous research attention due to their industrial-level properties, including porosity and flexibility, as well as advancements in fabrication methods and the principle of operation, such as size-based sieving effects. In this context, recent research has focused on intrinsic porous materials, such as covalent organic frameworks (COFs) and metal-organic frameworks (MOFs), for membrane fabrication due to their modifiability in pore channels, ion selectivity, and design flexibility. However, this technology is still in its early stages. This review summarizes recent advances in MOF/COF separators for RFBs, providing insights into existing challenges (e.g., desired pore size, processability, or scaling) and fundamental strategies (such as functional side chain modification) to achieve targeted functionality. Apart from the intrinsic features of frameworks, optimized structural properties (e.g., pore size) and performance evaluation are crucial to improve the quality of the separator, which are discussed in detail. This review provides valuable insights and can guide future research directions for designing nextgeneration MOF/COF separators in RFBs.</t>
  </si>
  <si>
    <t>Chiu, Wei-Hao/JCE-6812-2023; Lee, Kun-Mu/S-4739-2017; Chen, Shih-hsuan/NIU-8841-2025</t>
  </si>
  <si>
    <t>Lee, Kun-Mu/0000-0002-5911-9386</t>
  </si>
  <si>
    <t>1383-5866</t>
  </si>
  <si>
    <t>1873-3794</t>
  </si>
  <si>
    <t>DEC 23</t>
  </si>
  <si>
    <t>10.1016/j.seppur.2025.134157</t>
  </si>
  <si>
    <t>WOS:001524664600005</t>
  </si>
  <si>
    <t>Hao, YC; Zhao, J; Li, HF; Li, M; Guo, GQ; Zhang, JY; Fu, FY</t>
  </si>
  <si>
    <t>Hao, Yongchao; Zhao, Jun; Li, Hongfang; Li, Min; Guo, Guiquan; Zhang, Jiangyu; Fu, Fengyan</t>
  </si>
  <si>
    <t>Side chain engineering for modulating hydrophilicity of benzobisthiazole-based linear conjugated polymer to improve the photocatalytic hydrogen evolution</t>
  </si>
  <si>
    <t>JOURNAL OF PHOTOCHEMISTRY AND PHOTOBIOLOGY A-CHEMISTRY</t>
  </si>
  <si>
    <t>Photocatalytic hydrogen evolution through water splitting using conjugated polymer catalysts presents a promising prospect for sustainable energy production, however, challenges in charge carrier dynamics and interfacial reactivity limit practical implementation of conjugated polymers. This study systematically investigates the role of hydrophilic side-chain engineering in optimizing photocatalytic performance by designing structurally homologous benzobisthiazole-based linear conjugated polymers, B-PBT (butyl side chains) and OPBT (oligoethylene glycol side chains), with matched light absorption spectra and morphologies. Structural characterization confirmed identical conjugated backbones and semi-crystalline features, while morphological analysis revealed analogous flake-like architectures for both polymers. Despite comparable light absorption ranges, O-PBT exhibited a 7-fold higher hydrogen evolution rate than B-PBT under visible light, attributed to hydrophilic modulation. Contact angle measurements (34.0 degrees for O-PBT v.s. 59.5 degrees for B-PBT) and photoelectrochemical analyses demonstrated enhanced interfacial water affinity, suppressed charge recombination and reduced charge-transfer resistance in O-PBT. This work decouples hydrophilicity effects from lightabsorptive and morphological factors, establishing side-chain engineering as a critical strategy for optimizing interfacial reactivity and charge dynamics in organic photocatalysts.</t>
  </si>
  <si>
    <t>1010-6030</t>
  </si>
  <si>
    <t>1873-2666</t>
  </si>
  <si>
    <t>DEC 1</t>
  </si>
  <si>
    <t>10.1016/j.jphotochem.2025.116530</t>
  </si>
  <si>
    <t>WOS:001505559300001</t>
  </si>
  <si>
    <t>Lee, H; Kim, J; Ok, E; Kim, S; Cho, K</t>
  </si>
  <si>
    <t>Lee, Hyunji; Kim, Jimin; Ok, Eunsol; Kim, Seunghyun; Cho, Kilwon</t>
  </si>
  <si>
    <t>Photoactivated-doping-induced structural ordering in conjugated polymers via solution-mixing for high-performance organic thermoelectrics</t>
  </si>
  <si>
    <t>NANO ENERGY</t>
  </si>
  <si>
    <t>Molecular doping is a fundamental strategy for modulating carrier density in conjugated polymers and has been widely explored in organic thermoelectrics (TEs). However, excessive dopants can disrupt the structural order of polymer films and hinder charge transport. Among various doping methods, mixed-solution doping offers advantages in scalable processing and formation of thick and uniform films. Nevertheless, it often increases disorder through aggregation caused by charge transfer complexes formed in solution. Recently, doping-induced ordering has emerged as a promising way to simultaneously enhance carrier density and mobility, but has primarily been observed in sequential doping where solid-state order is well-preserved. Here, we present a photoactivated doping strategy that enables doping-induced ordering in mixed-solution systems. Triphenylsulfonium hexafluoroantimonate (TPS-HA), a photoactivated dopant, suppresses the charge transfer reaction in solution and initiates doping upon light irradiation in the solid state. This temporal control effectively decouples film formation from doping. Before activation, TPS-HA is preferentially located in amorphous regions of poly(3hexylthiophene-2,5-diyl) (P3HT) films with minimal disruption of crystalline domains. After activation, the small SbF6- anions insert into lamellar regions, thereby promoting side-chain ordering, backbone planarity, and reducing cumulative disorder. Consequently, TPS-HA-doped P3HT exhibits an enhanced molecular ordering across all three structural regions with delocalized carriers, achieving a conductivity of 78 S cm- 1-the highest reported for P3HT using mixed-solution doping-and a power factor of 51 mu W m- 1 K-2. By harnessing photoactivated doping to induce structural ordering, this strategy offers a framework to advance organic TEs.</t>
  </si>
  <si>
    <t>2211-2855</t>
  </si>
  <si>
    <t>2211-3282</t>
  </si>
  <si>
    <t>10.1016/j.nanoen.2025.111434</t>
  </si>
  <si>
    <t>WOS:001567489200001</t>
  </si>
  <si>
    <t>Li, GX; Jin, J; Tu, JX; Yue, HG; Wang, Y; Jia, XH; Yin, WY; Han, ZL; Deng, YX; Shi, CF; Zhen, YG</t>
  </si>
  <si>
    <t>Li, Gongxi; Jin, Jun; Tu, Junxuan; Yue, Haoguo; Wang, Ying; Jia, Xiaohui; Yin, Weiyuan; Han, Zhenglin; Deng, Yuxuan; Shi, Chunfeng; Zhen, Yonggang</t>
  </si>
  <si>
    <t>Intrinsically stretchable polymer semiconductors synergistically constructed by hydrogen bonds and metal coordination</t>
  </si>
  <si>
    <t>CHINESE CHEMICAL LETTERS</t>
  </si>
  <si>
    <t>Intrinsically stretchable semiconducting polymers play a vital role in the development of wearable electronics, featuring low-cost, large-area and high-density fabrication. Only single-stage dynamic chemical bond has been widely incorporated into polymer backbones to afford stretchability while multiple dynamic bonds have not been investigated, making a formidable challenge to achieve high stretchability without compromising charge transport properties. Herein, we synthesize a series of stretchable polymer semiconductors incorporating urethane and bipyridine units, which can provide dynamic interconnected polymer network by combination of hydrogen bonds with metal coordination, simultaneously obtaining excellent stretchability and carrier mobilities. Compared with single-stage hydrogen bonds, multiple dynamic chemical bonds constructed by 10% hydrogen bonds and 0.25 equiv. metal coordination endowed the polymer semiconductors with an 58% enhancement in carrier mobility and a two-fold increase in crack-onset strain. Notably, the polymer exhibited stable carrier mobilities parallel to the stretching direction, with 91% of initial values even under 150% strain, which is the unprecedented value for intrinsically stretchable semiconducting polymers without blending of elastomers. Therefore, the introduction of multiple dynamic bonds provides an effective and promising approach for intrinsically stretchable and high-performance polymer semiconductor. (c) 2025 Published by Elsevier B.V. on behalf of Chinese Chemical Society and Institute of Materia Medica, Chinese Academy of Medical Sciences.</t>
  </si>
  <si>
    <t>Han, Zhenglin/NHQ-0999-2025; Deng, Yu-Xuan/KFA-8514-2024; jia, xiaohui/OHU-6584-2025</t>
  </si>
  <si>
    <t>1001-8417</t>
  </si>
  <si>
    <t>1878-5964</t>
  </si>
  <si>
    <t>DEC</t>
  </si>
  <si>
    <t>10.1016/j.cclet.2025.111716</t>
  </si>
  <si>
    <t>WOS:001584853600001</t>
  </si>
  <si>
    <t>Shao, YH; Shen, RC; Wang, S; Li, SJ; Zhang, P; Li, X</t>
  </si>
  <si>
    <t>Shao, Yihong; Shen, Rongchen; Wang, Song; Li, Shijie; Zhang, Peng; Li, Xin</t>
  </si>
  <si>
    <t>Composition engineering in covalent organic frameworks for tailored photocatalysis</t>
  </si>
  <si>
    <t>ACTA PHYSICO-CHIMICA SINICA</t>
  </si>
  <si>
    <t>The harmful effects of the energy crisis and environmental degradation are becoming increasingly severe, which urgently demands the advancement of eco-friendly and sustainable production techniques. Direct conversion of abundant solar energy into chemical energy represents a promising green and efficient technological solution. In this process, photocatalysts play a pivotal role. Covalent organic frameworks (COFs), a class of porous materials interconnected by covalent bonds, exhibit exceptional potential for photocatalysis due to their high surface area, excellent crystallinity, and tunable structures. This review discusses the roles of compositional regulation in enhancing the photocatalytic performance of COFs, including modulating light absorption, increasing active sites, promoting exciton dissociation, and improving carrier separation. Furthermore, computational and mechanistic characterization methods are also discussed. More importantly, the key strategies in compositional regulation, such as heteroatom engineering, metal single-atom engineering, ion engineering, functional group engineering, Donor-Acceptor (D-A) molecular engineering, side chain engineering, multi-component engineering, isomerism engineering, conjugate bridge engineering, single-molecule junction engineering, and interlayer engineering, are carefully summarized. Moreover, their diversified modification strategies and applications in photocatalytic hydrogen (H2) evolution, hydrogen peroxide (H2O2) production, and carbon dioxide (CO2) reduction are also addressed. Finally, the current challenges and future opportunities for COF-based photocatalysis are outlined.</t>
  </si>
  <si>
    <t>Li, Shijie/I-4715-2019; Li, Xin/A-2698-2011; Shen, Rongchen/JPX-2066-2023</t>
  </si>
  <si>
    <t>1000-6818</t>
  </si>
  <si>
    <t>10.1016/j.actphy.2025.100176</t>
  </si>
  <si>
    <t>WOS:001583855900001</t>
  </si>
  <si>
    <t>Alqurashy, BA; Al-Qurashi, OS; Messali, M; Iraqi, A</t>
  </si>
  <si>
    <t>Alqurashy, Bakhet A.; Al-Qurashi, Ohoud S.; Messali, Mouslim; Iraqi, Ahmed</t>
  </si>
  <si>
    <t>Design of low-bandgap D-A copolymers based on dithienopyrrole with fluorinated benzothiadiazole for organic solar cells: Experimental and computational studies</t>
  </si>
  <si>
    <t>JOURNAL OF MOLECULAR STRUCTURE</t>
  </si>
  <si>
    <t>Two new alternating copolymers were synthesized as electron-donors for use in polymeric solar cells, using hexylphenyl substituted-dithienopyrrole coupled with mono and di-fluorinated benzothiadiazole to produce DTPBT1F and DTPBT2F. Fluorine substitution effects on the two narrow band gap copolymers have been investigated. The molecular weights of the di-fluorinated polymer (DTPBT2F) and the mono-fluorinated polymer (DTPBT2F) are found to be 3818 and 3851 Da, respectively, by using GPC. Both copolymers showed two distinct absorption bands in thin films, with their respective optical band gaps being 1.35 eV for DTPBT1F and 1.43 eV for DTPBT2F. Furthermore, UV-vis studies revealed that the lambda max of DTPBT2F in solution and thin film was blueshifted than DTPBT1F. According to CV analysis, the HOMO energy level of DTPBT2F (-5.00 eV) is lower than DTPBT1F (-4.72 eV), caused by the greater number of fluorine atoms attached to the benzothiadiazole moiety. TGA showed that DTPBT1F's degradation temperature is 265 degrees C, while DTPBT2F's has a relatively higher value of 314 degrees C. Based on XRD studies, both polymers displayed similar pattern curves with sharp and intense peaks. They also exhibited a small it-it stacking distance of 3.48 &amp; Aring;, indicating semi-crystalline structures. In addition, DFT was carried out to find reorganization energies and photovoltaic parameters. The calculated short-circuit current are 26.45 and 25.85 mAcm-2 for H-DTPBT1F and H-DTPBT2F, respectively, whereas opposite trend is found for Voc. The predicted power conversion efficiencies were found to range between 17.23 % and 11.25 %.</t>
  </si>
  <si>
    <t>AL-Qurashi, Ohoud/AAA-1077-2021; Alqurashy, Bakhet/NMJ-6155-2025; Iraqi, Ahmed/A-5115-2016; Messali, Mouslim/F-8675-2011; Al-Qurashi, Ohoud S/AAA-1077-2021</t>
  </si>
  <si>
    <t>Iraqi, Ahmed/0000-0003-3060-6663; Al-Qurashi, Ohoud S/0000-0003-2136-4009</t>
  </si>
  <si>
    <t>0022-2860</t>
  </si>
  <si>
    <t>1872-8014</t>
  </si>
  <si>
    <t>NOV 5</t>
  </si>
  <si>
    <t>10.1016/j.molstruc.2025.142980</t>
  </si>
  <si>
    <t>WOS:001515305000011</t>
  </si>
  <si>
    <t>Tian, Y; Lu, Q; Wang, Q; Lv, XD; Tao, YY; Wang, CL; Xia, YJ</t>
  </si>
  <si>
    <t>Tian, Yu; Lu, Qi; Wang, Qian; Lv, Xudong; Tao, Yuyan; Wang, Chenglong; Xia, Yangjun</t>
  </si>
  <si>
    <t>Terpolymer analogous D18 enables balanced charge mobility and mitigating non-radiative energy loss of the organic solar cells</t>
  </si>
  <si>
    <t>Fluorine side chain engineering has been widely used to optimize the organic photovoltaic materials via the regulation of the energy levels, crystallinity, and mitigation of the non-radiative energy loss (Delta E-nr) of the devices from them as well. Herein, the notable wide bandgap conjugated polymeric donor materials of D18 were optimized by the introduction of the third component of 4,8-di(3,4-difluoro-5-(2-ethylhexyl)thiophene-2-yl)benzo[1,2-b:4,5-b']dithiophene (BDT-4F) to generate the polymers with the name of D18-4F-5, D18-4F-10, D18-4F-20, D18-4F-30, and D18-4F-100 as well. As compared with the D18, the absorption spectra of analogous polymers of the D18 were almost not changed in the solid state, but the highest occupied molecular orbital (HOMO) energy levels were successively deepened, alongside the gradually increasing pi-pi stacking distance and decreasing the d-interlayer spacing distance in the solid state. In parallel, the open circuit voltage (V-OC) of the non-fullerene-based organic solar cells (NFAs-OSCs) from the blends of the polymers paired with Y6 were increased from 0.860 V to similar to 0.876 V-0.874 V, and then up to 0.892 V, alongside the decrease of the short current density (J(SC)) from 27.61 mA/cm(2) to 20.59 mA/cm(2), fill factors (FF) from 76.29 % to 53.11 %. The particular interest NFAs-OSCs with the higher power conversion efficiency (PCE) of 18.11 % relative to that of 16.89 % for the counterpart devices from the blends of D18:Y6, is achieved from the D18-4F-10:Y6 blends. Beyond that, the more balanced charge transporting, efficiently suppressed charge bimolecular recombination, and lower Delta E-nr etc. of the devices of the D18-4F-10:Y6 as compared with D18:Y6, were observed and supported by a range of physical measurements.</t>
  </si>
  <si>
    <t>NOV</t>
  </si>
  <si>
    <t>10.1016/j.dyepig.2025.113002</t>
  </si>
  <si>
    <t>WOS:001531439800001</t>
  </si>
  <si>
    <t>Tian, Z; Dai, Y; Zhan, CK; Chen, YP; Ding, ZL; Wu, JQ; Hou, RX; Sun, YX; Li, YJ; He, W; Zhu, N; Hu, X; Liu, YH; Guo, K</t>
  </si>
  <si>
    <t>Tian, Zhe; Dai, Yu; Zhan, Chengkai; Chen, Yupeng; Ding, Zhaolin; Wu, Jiaqi; Hou, Ruixiang; Sun, Yongxiang; Li, Yajun; He, Wei; Zhu, Ning; Hu, Xin; Liu, Yihuan; Guo, Kai</t>
  </si>
  <si>
    <t>Organocatalyzed ring-opening polymerization of proline-based lactones for poly(amino ester)s and cationic polymers with antibacterial activity</t>
  </si>
  <si>
    <t>REACTIVE &amp; FUNCTIONAL POLYMERS</t>
  </si>
  <si>
    <t>Poly(amino ester)s (PAEs) are widely employed in diverse applications, particularly biomedicine, owing to their tunable functionality via amine group modification and the inherent biodegradability and biocompatibility of their polyester chains. Herein, we reported (thio)urea/base-catalyzed ring-opening polymerization of proline-based lactones for well-defined poly(amino ester)s. A series of (thio)ureas and organic bases were synthesized and combined to form various binary organocatalysts to explore the structure-activity relationships. Monomer conversion up to 95 % was achieved within 5 min. Kinetics studies and chain extension experiments confirmed the living/controlled nature of ROP. Four well-defined PAEs with high molecular weights (3150-51,340 g mol(-1)) and narrow dispersity (&amp; Dstrok; &lt; 1.29) were produced. The resultant PAEs showed high thermal stability (T-d,(5%) = 224-350 degrees C) and T-m (189-244 degrees C). Furthermore, seven cationic random or block copolymers were synthesized through ring-opening copolymerization, followed by deprotection reaction. The effect of copolymer composition on the self-assembly behavior was investigated by DLS and TEM. Cationic random copolymers with high hydrophobic content demonstrated strong antimicrobial activity against E. coli, while those with high hydrophilic content were more active against S. aureus. This work would provide valuable insights into poly(amino ester)s and cationic polymers with tailored antimicrobial activity.</t>
  </si>
  <si>
    <t>Hu, Xin/R-5481-2016; 田, 喆/JTS-7583-2023; Zhu, Ning/R-5462-2016</t>
  </si>
  <si>
    <t>1381-5148</t>
  </si>
  <si>
    <t>1873-166X</t>
  </si>
  <si>
    <t>10.1016/j.reactfunctpolym.2025.106411</t>
  </si>
  <si>
    <t>WOS:001553103400001</t>
  </si>
  <si>
    <t>Zang, SY; Dong, LY; Wang, J; Wang, SQ; Chu, XZ; Shan, BF; Yang, P; Ni, ZG; Kan, B; Zhang, Q</t>
  </si>
  <si>
    <t>Zang, Siyuan; Dong, Liying; Wang, Jia; Wang, Shuaiqi; Chu, Xizhe; Shan, Bofang; Yang, Peng; Ni, Zhigang; Kan, Bin; Zhang, Qian</t>
  </si>
  <si>
    <t>Alkoxy side-chain engineering of quinquethiophene-based fully non-fused ring acceptors with near-infrared absorption for efficient organic solar cells</t>
  </si>
  <si>
    <t>Fully non-fused organic semiconductors with ultra-narrow bandgap offer exceptional potential for cost-effective organic photoelectric devices. Here, two quinquethiophene-based fully non-fused acceptors, 5T-OEH and 5T2OEH, were designed and synthesized by varying the number of the alkoxy chain on the terminal thiophene. The inner alkoxy modified 5T-OEH adopts a more planar backbone and displays a redshifted absorption with an ultra-narrow optical bandgap of 1.29 eV compared to 5T-2OEH. After blending with donor D18, the 5T-OEH blend exhibits a preferential face-on molecular orientation, more compact intermolecular stacking and favorable phase separation. Consequently, organic solar cells (OSCs) based on 5T-OEH afforded a power conversion efficiency (PCE) of 12.64 %, surpassing those based on 5T-2OEH (7.44 %). This study underscores the effectiveness of alkoxy chain engineering in optimizing the performance of non-fused acceptors, providing a promising pathway for advancing low-cost and high-efficiency OSCs toward commercialization.</t>
  </si>
  <si>
    <t>Bin, Kan/ABD-9209-2020</t>
  </si>
  <si>
    <t>10.1016/j.dyepig.2025.112954</t>
  </si>
  <si>
    <t>WOS:001511644500001</t>
  </si>
  <si>
    <t>Zhao, TY; Liu, SJ; Zhou, RK; Zhang, XY; Liang, ZZ; Liu, JH; Yao, WT; Xiao, B; Wang, WP; Cong, ZY; Zhao, BF; Wu, HM; Zhou, YC; Gao, C</t>
  </si>
  <si>
    <t>Zhao, Tianyi; Liu, Shujuan; Zhou, Ruike; Zhang, Xiaoyu; Liang, Zezhou; Liu, Jiahao; Yao, Wanting; Xiao, Biao; Wang, Weiping; Cong, Zhiyuan; Zhao, Baofeng; Wu, Haimei; Zhou, Yuchen; Gao, Chao</t>
  </si>
  <si>
    <t>Efficient organic solar cells achieved by multi-deuterium substituted A-D-A-type small molecule acceptors</t>
  </si>
  <si>
    <t>Due to the advantages offered by A-D-A and A-DA'D-A type small molecule acceptors (SMAs), the photovoltaic performance of organic solar cells (OSCs) has made tremendous progress, with power conversion efficiencies (PCEs) exceeding 20 % in many material systems. However, as non-radiative recombination energy losses (Delta Enr) in OSCs result in a lower open circuit voltage (VOC), it remains a challenge to further improve the PCE of OSCs. To address this issue, the typical A-D-A-type small molecular acceptor ITIC was used as the model molecule, and two multi-substituted ITIC derivatives, ITIC-d16 and ITIC-d18, having 16 and 18 deuterium atoms respectively, were synthesized. The aim was to improve the luminescence performance of the materials to reduce the Delta Enr and improve the performance of OSCs. Compared to ITIC, the two deuterated SMAs showed unchanged absorption spectra and molecular energy levels. Blended with PBDB-T, the optimized ITIC-d16 device, demonstrated enhanced VOC (0.909 V) and the highest electroluminescence quantum efficiency (EQEEL) of 8.0 x 10_6, exhibiting the smallest Delta Enr of 0.304 eV. This resulted in the best PCE of 10.62 %. In comparison, the ITIC-based device exhibited a VOC of 0.902 V and a PCE of 10.16 %, accompanied by a slightly elevated Delta Enrof 0.312 eV. However, due to the unsatisfactory generation of excitons, the ITIC-d18 device exhibited simultaneously decreased VOC, short-circuit current (JSC), and fill factor (FF), leading to the lowest PCE of 9.85 %. The results of our study suggest that side-chain multi-deuterium substituted SMAs may offer a promising strategy for reducing energy loss and enhancing the performance of OSCs.</t>
  </si>
  <si>
    <t>liang, zezhou/ABB-1532-2021; Wang, Weiping/H-2770-2013; Wu, Hao/AAK-5134-2021; Zhao, Tianyi/JWO-6126-2024</t>
  </si>
  <si>
    <t>10.1016/j.dyepig.2025.112930</t>
  </si>
  <si>
    <t>WOS:001508589400001</t>
  </si>
  <si>
    <t>Luo, XA; Liu, XR; Lin, YR; Li, MK; Yang, ZY; Xiong, ZH; Wang, Y; Peng, F; Zhong, WK; Li, N; Ying, L</t>
  </si>
  <si>
    <t>Luo, Xuanang; Liu, Xinrui; Lin, Youran; Li, Mingke; Yang, Zhiyuan; Xiong, Zhihui; Wang, Yang; Peng, Feng; Zhong, Wenkai; Li, Ning; Ying, Lei</t>
  </si>
  <si>
    <t>Modular Design of Polymer Donors Regulates Solution Aggregation and Stretchability of Organic Solar Cells</t>
  </si>
  <si>
    <t>ANGEWANDTE CHEMIE-INTERNATIONAL EDITION</t>
  </si>
  <si>
    <t>The use of nonhalogenated solvents in organic solar cell (OSC) manufacturing is crucial for environmental sustainability but remains hindered by difficulties in achieving optimal thin-film morphologies. In particular, controlling solution-state aggregation to form well-defined fibrillar networks that enable high device performance is a central challenge. Here, we present a modular molecular design strategy based on the PTzBI polymer platform, enabling simultaneous tuning of energy levels, crystalline packing, and chain flexibility to address this limitation. The resulting polymer, PTzBI-dF-Si, integrates a fluorinated backbone and siloxane-terminated side chains, showing balanced solubility and controlled solution-state aggregation in o-xylene. These network-like solution aggregates translate into enhanced molecular crystallinity and a well-organized fibrillar morphology in the solid film. The corresponding PTzBI-dF-Si:L8-BO blends achieve a power conversion efficiency (PCE) of 19.9% in rigid OSCs. Moreover, PTzBI-dF-Si exhibits ductile deformation with a fracture strain of similar to 20%, leading to intrinsically stretchable OSCs with a PCE over 16%, retaining &gt;80% of the initial PCE under 40% strain. These results highlight the promise of rational, modular polymer design in advancing nonhalogenated-solvent processed, high-efficiency, and mechanically robust OSCs for scalable and wearable electronic applications.</t>
  </si>
  <si>
    <t>1521-3773</t>
  </si>
  <si>
    <t>2025 OCT 15</t>
  </si>
  <si>
    <t>10.1002/anie.202514985</t>
  </si>
  <si>
    <t>OCT 2025</t>
  </si>
  <si>
    <t>WOS:001594422400001</t>
  </si>
  <si>
    <t>Da Silva, HC; Martorano, LH; Dos Santos, FM Jr; De Almeida, WB</t>
  </si>
  <si>
    <t>Da Silva, Haroldo C.; Martorano, Lucas H.; Dos Santos Jr, Fernando M.; De Almeida, Wagner B.</t>
  </si>
  <si>
    <t>Determination of the Preferred Stereoisomer of Natural Product Bisabolol in Chloroform Solution through Quantum Chemical Calculations of 1H NMR Chemical Shifts</t>
  </si>
  <si>
    <t>ACS OMEGA</t>
  </si>
  <si>
    <t>The elucidation of natural product structures and the differentiation of stereoisomers are important issues in organic chemistry. An example is the sesquiterpene (-)-alpha-bisabolol (alpha Bis), having two stereogenic centers, alpha Bis and a flexible side chain that generates high conformational freedom. Recently, new tools named DP4+ and ANN-PRA, which are probabilistic approaches, were used in combination to solve the relative configuration of alpha Bis (alpha and epi-alpha diastereomers). Nuclear magnetic resonance (NMR) chemical shifts obtained from density functional theory (DFT) calculations in the vacuum were used by the DP4+ and ANN-PRA computational algorithms averaged by the Boltzmann population. Although such a procedure can provide an indication of the most probable enantiomer, no information on the spatial arrangement of the preferred molecular structure present in the NMR experiment (in CDCl3) could be obtained. In this work, we used the DFT methodology and the polarizable continuum model approach, with the inclusion of explicit CHCl3 solvent molecules, to calculate 1H NMR spectra for various distinct trial molecular structures of alpha Bis, encompassing alpha and epimeric forms, varying relevant torsion angles to find plausible minimum energy structures on the potential energy surface, including solvent effects. Through comparison between the experimental and theoretical 1H NMR profiles in chloroform solution, we were able to unambiguously elucidate the predominant molecular structure (enantiomer alpha) that reproduced faithfully the experimental 1H NMR pattern. This could not be done in previous work employing the DP4+ and ANN-PRA tools; however, there is an agreement that the alpha stereoisomer should be predominant. The preferred alpha-Bis molecular structure reported here will most probably interact with biological targets.</t>
  </si>
  <si>
    <t>2470-1343</t>
  </si>
  <si>
    <t>2025 OCT 13</t>
  </si>
  <si>
    <t>10.1021/acsomega.5c07923</t>
  </si>
  <si>
    <t>WOS:001592211000001</t>
  </si>
  <si>
    <t>Bittmann, M; Gröger, H</t>
  </si>
  <si>
    <t>Bittmann, Maike; Groger, Harald</t>
  </si>
  <si>
    <t>Ethenolysis Without Ethene: A Practical and Safe Lab Method to Introduce Terminal Alkene Groups via Metathesis Exemplified for Chiral Natural Product Chemistry</t>
  </si>
  <si>
    <t>CHEMCATCHEM</t>
  </si>
  <si>
    <t>The introduction of terminal alkene groups through ethenolysis is a well-established metathesis process. However, while being widely applied in industry, this reaction is not performed without risk in organic synthesis laboratories due to the hazardous properties of ethylene. In this contribution, we present an ethylene-free ethenolysis, exemplified for a terminal alkene formation at the side chain of 12-oxophytodienoic acid (12-OPDA), a chiral naturally occurring plant-hormone with internal alkene groups. This novel type of ethenolysis was achieved through ruthenium-catalyzed metathesis with a triisopropylsilyl (TIPS)-group carrying terminal alkene, acting as ethene surrogate. The newly formed terminal alkene was isolated in high purity and the structure could be unequivocally identified via NMR-spectroscopical methods as well as mass spectrometry. We propose a mechanism which follows a pathway similar to the one of a degenerate metathesis that is driven by steric hindrance between the two alkenes during the catalytic cycle. This hypothesis is supported by our further experimental findings. The successful transfer of this concept to other alkene substrates and studies with a second catalyst indicate that this method for ethylene-free introduction of terminal alkene groups through the use of bulky reagents avoiding formation of classic metathesis products could be applied to a wide range of other substrates, in particular complex natural products, as well.</t>
  </si>
  <si>
    <t>1867-3880</t>
  </si>
  <si>
    <t>1867-3899</t>
  </si>
  <si>
    <t>2025 OCT 11</t>
  </si>
  <si>
    <t>10.1002/cctc.202500890</t>
  </si>
  <si>
    <t>WOS:001590881900001</t>
  </si>
  <si>
    <t>Zhou, ZM; He, YJ; Wu, Q; Wang, CJ; Liu, XQ; Wang, L; Liu, Y</t>
  </si>
  <si>
    <t>Zhou, Zhiming; He, Yajun; Wu, Qi; Wang, Chuanjun; Liu, Xiaoqing; Wang, Lei; Liu, Yi</t>
  </si>
  <si>
    <t>Regulating Platinum Active Species on the Side Chains of Hydrazone-Linked Covalent Organic Frameworks for Photocatalytic Hydrogen Generation</t>
  </si>
  <si>
    <t>CHINESE JOURNAL OF CHEMISTRY</t>
  </si>
  <si>
    <t>Herein, a pair of hydrazone-linked covalent organic frameworks (COFs) were constructed with identical main-chain backbone and distinctive side chains (denoted as BTB-COF and BTD-COF), respectively. With H2PtCl6 as the co-catalyst precursor, BTD-COF with ethoxy side chains demonstrated superior photocatalytic H2 production performance yielding 3708 mu molg-1h-1 under visible light irradiation, which was 3.0 times higher than that of its analogue BTB-COF with thioether side chains (1236 mu molg-1h-1). Comprehensive studies on the composites of platinum nanoparticles (Pt NPs) with COFs after photocatalytic H2 generation had revealed the impacts of side chains on the photocatalytic process and the anchoring of Pt NPs within COFs. By contrast with the divalent oxidized-state of Pt on BTB-COF, Pt NPs anchored on BTD-COF existed as metallic Pt0 with an uniform size of 2.7 nm, agreeing well with the diameter of pore channels. The nature of metallic Pt0 NP was greatly beneficial for the surface charge transfer process and had consequently enhanced the photogenerated carrier separation efficiency, which was supported by the density functional theory calculations. This work elucidates the impacts of side chains on the H2 generation performance of COFs under visible light, which will further spur the structural evolution of functional COFs materials.</t>
  </si>
  <si>
    <t>Wang, Chuanjun/NSV-3482-2025</t>
  </si>
  <si>
    <t>1001-604X</t>
  </si>
  <si>
    <t>1614-7065</t>
  </si>
  <si>
    <t>10.1002/cjoc.70316</t>
  </si>
  <si>
    <t>WOS:001590826700001</t>
  </si>
  <si>
    <t>Caseri, WR; Niederberger, M</t>
  </si>
  <si>
    <t>Caseri, Walter R.; Niederberger, Markus</t>
  </si>
  <si>
    <t>Toward a New Generation of Organic Coatings for Corrosion Protection Based on Poly(phenylene methylene)</t>
  </si>
  <si>
    <t>LANGMUIR</t>
  </si>
  <si>
    <t>Metal corrosion is a costly surface phenomenon that is typically prevented by organic coatings based on cross-linked resins. However, these coatings have severe limitations in recycling, and small defects are difficult to detect and repair, which can lead to hidden corrosion and catastrophic material failure. Modified poly(phenylene methylene) (PPM) coatings overcome these shortcomings because they are thermoplastic and recyclable and can be customized by incorporating functional additives or through side chain engineering, resulting in self-healing and fluorescent coatings for straightforward, on-demand, and nondestructive quality control over the entire time range from application to service life. Furthermore, the use of PPM-based polymers might eliminate the need for surface pretreatments, which are commonly performed to improve coating adhesion. To date, however, PPM-based corrosion protection has only been validated on a single yet significant aluminum alloy (AA2024). Broadening its applicability to other metals/alloys, exploring powder coating techniques, and enhancing glass transition temperatures while retaining self-healing functionality are key directions for future research.</t>
  </si>
  <si>
    <t>Niederberger, Markus/A-6144-2008</t>
  </si>
  <si>
    <t>0743-7463</t>
  </si>
  <si>
    <t>1520-5827</t>
  </si>
  <si>
    <t>2025 OCT 8</t>
  </si>
  <si>
    <t>10.1021/acs.langmuir.5c02887</t>
  </si>
  <si>
    <t>WOS:001589652700001</t>
  </si>
  <si>
    <t>Ding, YC; Lu, JY; Chen, BZ; Xue, G; Luo, SC; Zhou, DS</t>
  </si>
  <si>
    <t>Ding, Yichen; Lu, Jiayu; Chen, Bianzheng; Xue, Gi; Luo, Shaochuan; Zhou, Dongshan</t>
  </si>
  <si>
    <t>Evolution of Glass Transitions in Homogeneous Organic Mixed Ionic-Electronic Conductors upon Ion Uptake and Electrochemical Doping</t>
  </si>
  <si>
    <t>MACROMOLECULES</t>
  </si>
  <si>
    <t>Fueling advances in bioelectronics and neuromorphic computing, the performance of organic mixed ionic-electronic conductors (OMIECs) is dictated not only by crystalline order but also fundamentally by the segmental dynamics within their amorphous domains. Here, by fabricating an electrochemical cell in situ on the chip calorimetry, we unveil the evolution of the glass transition temperature (T g) of homogeneous OMIEC films across dry, swollen and electrochemically doped states. Dry films display distinct glass transitions for the side-chain (T g,s) and backbone (T g,b) domains, governed by backbone rigidity and side-chain linkages, with flexible oligoethylene glycol (oEG) side chains acting to lower T g,b. Electrolyte swelling elevates T g,s through ion confinement in side-chain lamellae while plasticizing the backbone, lowering its T g,b but preserving the intrinsic rigidity crucial for electronic pathways. Critically, the response to electrochemical doping is dependent on the initial polymer crystallinity. For low-crystallinity OMIECs, anion injection enhances amorphous phase mobility, reflected in a decreasing T g,b. Conversely, in highly crystalline polymers, doping-induced ion intercalation partially disrupts the ordered lamellae, creating a new amorphous phase with restricted mobility characterized by a higher-temperature glass transition (T g,b2). This newly formed phase can further grow through high carrier density-induced backbone planarity, which may foster the mesoscale order for mixed conduction. This work reveals the intricate coupling between molecular architecture, doping-induced morphology, and segmental dynamics, providing fundamental insights for the structural evolution between ordered and amorphous segments in OMIEC systems.</t>
  </si>
  <si>
    <t>Yichen, Ding/R-5036-2019</t>
  </si>
  <si>
    <t>0024-9297</t>
  </si>
  <si>
    <t>1520-5835</t>
  </si>
  <si>
    <t>10.1021/acs.macromol.5c02191</t>
  </si>
  <si>
    <t>WOS:001589689000001</t>
  </si>
  <si>
    <t>Husakova, M; Bezdicek, M; Branska, B; Sedlár, K; Patakova, P</t>
  </si>
  <si>
    <t>Husakova, Marketa; Bezdicek, Matej; Branska, Barbora; Sedlar, Karel; Patakova, Petra</t>
  </si>
  <si>
    <t>Pigment Formation by Monascus pilosus DBM 4361 in Submerged Liquid Culture</t>
  </si>
  <si>
    <t>JOURNAL OF AGRICULTURAL AND FOOD CHEMISTRY</t>
  </si>
  <si>
    <t>Monascus pilosus is usually cultivated on rice because of monacolin K. We focused on pigment production in submerged liquid culture (SLC) where M. pilosus produced different pigments compared to M. purpureus and M. ruber. From the group of classic Monascus pigments, there were formed mostly compounds with a five-carbon side chain, and the dominant pigment was monascuspiloin, a yellow pigment structurally similar to monascin. In SLC, previously undescribed patterns affecting pigment formation were observed, such as the Crabtree effect, carbon catabolite repression of pigments caused by glucose and other mono-/disaccharides, as well as nitrogen regulation, particularly repression of pigment formation by ammonium sulfate. The highest pigment concentration in the extract was obtained using an organic nitrogen source, specifically 340 mg/L for yellow pigments utilizing a combination of sucrose and tryptone, 346 mg/L for orange pigments using starch and tryptone, and 75 mg/L for red pigments using lactose and tryptone.</t>
  </si>
  <si>
    <t>Branska, Barbora/G-6429-2019; HusÃ¡kovÃ¡, MarkÃ©ta/LOS-8509-2024; Bezdicek, Matej/AEP-0793-2022</t>
  </si>
  <si>
    <t>0021-8561</t>
  </si>
  <si>
    <t>1520-5118</t>
  </si>
  <si>
    <t>10.1021/acs.jafc.5c08401</t>
  </si>
  <si>
    <t>WOS:001589707600001</t>
  </si>
  <si>
    <t>Xu, XR; Huang, CF</t>
  </si>
  <si>
    <t>Xu, Xiuru; Huang, Changfa</t>
  </si>
  <si>
    <t>Molecular Design of Benzothiadiazole-Fused Tetrathiafulvalene Derivatives for OFET Gas Sensors: A Computational Study</t>
  </si>
  <si>
    <t>SENSORS</t>
  </si>
  <si>
    <t>Due to their unique advantages-such as small size, easy integration, flexible wearability, low power consumption, high sensitivity, and material designability-organic field-effect transistor (OFET) gas sensors have significant application potential in fields such as environmental detection, smart healthcare, robotics, and artificial intelligence. Benzothiadiazole fused tetrathiafulvalenes (TTF) are promising organic semiconductor candidates due to their abundant S atoms and planar pi-pi conjugation skeletons. We designed a series of derivatives by side-chain modification, and conducted systematic computations on TTF derivatives, including reported and newly designed materials, to analyze how geometric factors affect the charge transport properties of materials at the PBE0/6-311G(d,p) level. The frontier molecular orbitals (FMOs) and reorganization energy indicate that the designed derivatives are promising candidates for organic semiconductor sensing materials. Furthermore, theoretical calculations reveal that the designed TTF derivatives are sensitive to gases like NH3, H2S, and SO2, indicating organic field-effect transistors (OFETs) with gas-sensing functions.</t>
  </si>
  <si>
    <t>1424-8220</t>
  </si>
  <si>
    <t>OCT 6</t>
  </si>
  <si>
    <t>10.3390/s25196190</t>
  </si>
  <si>
    <t>WOS:001593925400001</t>
  </si>
  <si>
    <t>Wei, WK; Yuan, XY; Zhou, X; Li, Y; Lee, S; Xu, JQ; Zhang, Y; Feng, HZ; Jiang, QJ; Wu, JY; Yang, CD; Hao, XT; Huang, F; Cao, Y; Duan, CH</t>
  </si>
  <si>
    <t>Wei, Wenkui; Yuan, Xiyue; Zhou, Xia; Li, Yao; Lee, Seunglok; Xu, Jinqun; Zhang, Yue; Feng, Haozhe; Jiang, Qiuju; Wu, Jiaying; Yang, Changduk; Hao, Xiaotao; Huang, Fei; Cao, Yong; Duan, Chunhui</t>
  </si>
  <si>
    <t>Low-Cost Fused-Ring Electron Acceptors for Efficient Organic Solar Cells by Fine-Tuning Molecular Crystallization and Film Formation Kinetics</t>
  </si>
  <si>
    <t>Achieving high power conversion efficiencies (PCEs) with low-cost active layer materials is of vital importance for organic solar cell (OSC) commercialization. However, the PCEs afforded by currently reported low-cost electron acceptors remain substantially limited. Herein, we report the regulation of molecular crystallization and film formation kinetics of the low-cost electron acceptors with A-DA'D-A-type pentacyclic fused-ring structures and achieved an impressive PCE of 18.04% and a tiptop figure-of-merit (FOM) of 0.363, representing the best-known values for OSCs. Single crystal X-ray diffraction studies indicate that the long and flexible side chain on the central core could hinder the unfavorable dimer formation of electron acceptors and lead to three-dimensional network packing, which is critical for exciton diffusion and charge transport. Moreover, the in situ optical spectroscopy revealed that the side chain elongation of the electron acceptor could slow the film formation kinetics of the small molecular acceptor while accelerating those of the polymer donor, which is conducive to forming bi-continuous interpenetrating fibril networks with better intermixing. This work demonstrates that low-cost, simple-structured fused-ring electron acceptors hold a bright future in the OSC commercialization.</t>
  </si>
  <si>
    <t>Duan, Chunhui/D-5221-2016; Wu, Jiaying/ABE-3868-2020; Hao, Xiaotao/AFU-3978-2022</t>
  </si>
  <si>
    <t>2025 OCT 3</t>
  </si>
  <si>
    <t>10.1002/anie.202517485</t>
  </si>
  <si>
    <t>WOS:001586017100001</t>
  </si>
  <si>
    <t>Cao, ZQ; Li, ZF; Awada, A; Tolba, SA; Mooney, M; Wang, YY; Chiu, YC; Rondeau-Gagne, S; Xia, WJ; Gu, XD</t>
  </si>
  <si>
    <t>Cao, Zhiqiang; Li, Zhaofan; Awada, Angela; Tolba, Sara A.; Mooney, Madison; Wang, Yangyang; Chiu, Yu-Cheng; Rondeau-Gagne, Simon; Xia, Wenjie; Gu, Xiaodan</t>
  </si>
  <si>
    <t>Approaching highly stable optoelectronic device operation at elevated temperature by locking backbone torsion of conjugated polymers</t>
  </si>
  <si>
    <t>MATTER</t>
  </si>
  <si>
    <t>The ability of organic electronics to maintain stability at elevated temperatures is crucial for the longevity of optoelectronic devices. However, achieving stable optoelectronic properties for conjugated polymers remains fundamentally challenging. Here, we identify backbone twisting motion as the primary reason for the unstable optoelectronic properties of donor-acceptor (D-A) conjugated polymers, using diketopyrrolopyrrole (DPP)-based polymers as a model system. The backbone thiophene-ring twist transition is responsible for shifts in the band gap and alterations in charge transport properties. The twisting motion of the thiophene induces localization of the intrachain electrons, resulting in reduced charge carrier mobility and a significant blue shift in optical absorption. Additionally, we demonstrated that intramolecular hydrogen bonding interaction within DPP polymers can suppress undesired backbone twisting at elevated temperatures, thereby ensuring a more stable optoelectronic property. Our work offers fundamental insights into the decline in device stability at elevated temperatures and a strategy to enhance device stability.</t>
  </si>
  <si>
    <t>Gu, Xiaodan/G-4029-2015; Xia, Wenjie/KEI-4263-2024</t>
  </si>
  <si>
    <t>2590-2393</t>
  </si>
  <si>
    <t>2590-2385</t>
  </si>
  <si>
    <t>OCT 1</t>
  </si>
  <si>
    <t>10.1016/j.matt.2025.102195</t>
  </si>
  <si>
    <t>WOS:001589375800028</t>
  </si>
  <si>
    <t>Lei, YT; Meng, XY; Guo, Q; Sun, XN; Zhou, E</t>
  </si>
  <si>
    <t>Lei, Yitong; Meng, Xinyi; Guo, Qing; Sun, Xiangnan; Zhou, Erjun</t>
  </si>
  <si>
    <t>Recently progress of aromatic side chain engineering on Y6 for high performance organic solar cells</t>
  </si>
  <si>
    <t>NANO RESEARCH</t>
  </si>
  <si>
    <t>Due to the precisely tunable energy levels, structural versatility, and broad absorption spectra extending into the near-infrared region, the Y-series of nonfullerene acceptors (NFAs) have attracted a lot of attention from researchers in recent years. Among the various methods for optimizing material structure, side-chain modification is a simple and efficient way to improve the corresponding device performance of the material. Because of the large steric hindrance, the introduction of aromatic groups into the side chain is an effective method to adjust the planarity of the molecular skeleton and the morphology of the active layer. Despite the numerous reviews on the acceptor materials, there are scarcely any comprehensive summaries focusing on aromatic side chains optimized Y6 acceptors. Therefore, this paper mainly focuses on the aromatic side chain modification strategy on Y6 materials, which include the synthetic methods and research status for introducing aromatic side chains into the inner and the outer side chains of Y6-series materials. The structure-performance relationship is also comprehensively discussed, and the future design directions and challenges of Y-series NFAs are proposed.</t>
  </si>
  <si>
    <t>1998-0124</t>
  </si>
  <si>
    <t>1998-0000</t>
  </si>
  <si>
    <t>OCT</t>
  </si>
  <si>
    <t>10.26599/NR.2025.94907513</t>
  </si>
  <si>
    <t>WOS:001576418400021</t>
  </si>
  <si>
    <t>Li, K; Liu, Y; Yang, H; Yuan, Y; Feng, J; Qian, JH; Zhu, XC; Wu, Y; Cui, CH; Li, YF</t>
  </si>
  <si>
    <t>Li, Kui; Liu, Yue; Yang, Hang; Yuan, Ya; Feng, Jun; Qian, Jiahao; Zhu, Xuncheng; Wu, Yue; Cui, Chaohua; Li, Yongfang</t>
  </si>
  <si>
    <t>Alkylthio side-chain engineering on the quinoxaline-based electron acceptors for efficient organic solar cells</t>
  </si>
  <si>
    <t>ORGANIC ELECTRONICS</t>
  </si>
  <si>
    <t>Alkylthio side-chain engineering plays an important role in constructing high-performance small-molecule acceptors (SMAs) for organic solar cells (OSCs). In this work, two ethylthio-substituted quinoxaline core-based SMAs (BQS-F and BQDS-F) are developed to elucidate the impact of alkylthio substituents on their physicochemical and photoelectric properties. Comparative analysis reveals that the dialkylthio-substituted BQDS-F exhibited a more planar molecular backbone, red-shifted absorption spectrum, upshifted molecular orbital energy levels, and enhanced crystallinity compared to the monoalkylthio-substituted BQS-F. However, the poor thermodynamic compatibility of BQDS-F with the polymer donor D18 leads to excessively phase-separated heterojunction textures. By contrast, more homogeneous and uniform phase separation is realized in D18: BQS-F blend film, resulting in enhanced exciton dissociation efficiency, improved charge carrier mobility, and suppressed charge recombination. As a result, the BQS-F-based device affords a much higher efficiency of 15.52 % compared to the BQDS-F-based device (12.21 %). The results clarify the effect of ethylthio substituents on quinoxaline core-based SMAs, which are instructive to further advance the development of organic photovoltaics.</t>
  </si>
  <si>
    <t>Yang, Hang/HIK-3515-2022; Li, Yongfang/I-6011-2013; Cui, Chaohua/J-5554-2019; Wu, Yue/JYO-8059-2024</t>
  </si>
  <si>
    <t>1566-1199</t>
  </si>
  <si>
    <t>1878-5530</t>
  </si>
  <si>
    <t>10.1016/j.orgel.2025.107310</t>
  </si>
  <si>
    <t>WOS:001546924300001</t>
  </si>
  <si>
    <t>Ma, ZY; Dong, L; Zhang, FL; Liu, JY; Liu, Z; Ma, HC; Li, JH; Guo, YW</t>
  </si>
  <si>
    <t>Ma, Zhiyu; Dong, Li; Zhang, Feilong; Liu, Jingyang; Liu, Zheng; Ma, Hongchao; Li, Jianhui; Guo, Yuwen</t>
  </si>
  <si>
    <t>Thermal conversion potential of recycled EVA from end-of-life solar panels: Stability assessment, combustion characteristics, and kinetic-thermodynamic profiling</t>
  </si>
  <si>
    <t>JOURNAL OF ENVIRONMENTAL CHEMICAL ENGINEERING</t>
  </si>
  <si>
    <t>The fuel utilization of ethylene-vinyl acetate (EVA) copolymer generated from the decapsulation of waste photovoltaic modules is an effective means to achieve the sustainable development goals. This study focused on waste EVA released by organic solvent decapsulation and assessed its combustion characteristics. The results indicated that the calorific values of waste EVA is 1.4 times the standard coal equivalent (29.31 MJ/kg), thus, it demonstrates good potential for utilization as fuel. The deacetylation and polymer fracture and combustion stages are the two main stages of waste EVA combustion, which follow the F1 and A3/2 model, respectively. The combustion reaction basically concludes before 550 degrees C, with the total weight loss rate typically exceeding 99 %. The apparent activation energy (E alpha) required for the combustion of waste EVA is approximately 167.80-186.45 kJ/mol. The relatively low combustion energy barrier makes it a promising ignition or co-firing agent. The main chain and side chain structures of EVA after organic solvent treatment are destroyed, and the energy required for combustion is lower. The pre-exponential factor (A) in the polymer fracture and combustion stage is greater than 109 s-1 and the average apparent entropy change (Delta S) value is greater than 0, suggesting that the reaction activity of this stage is higher than that of the deacetylation stage. These findings are expected to provide important information and a theoretical basis for the efficient utilization of EVA from waste photovoltaic modules and the realization of sustainable development goals.</t>
  </si>
  <si>
    <t>Ma, Zhiyu/GZA-7772-2022; Zhang, Feilong/B-3549-2012</t>
  </si>
  <si>
    <t>2213-2929</t>
  </si>
  <si>
    <t>2213-3437</t>
  </si>
  <si>
    <t>10.1016/j.jece.2025.118087</t>
  </si>
  <si>
    <t>WOS:001550197400002</t>
  </si>
  <si>
    <t>Wang, X; Liu, GQ; Cao, Y; Lu, XL; Guan, CT; Li, J; Ma, J; Jiang, J; Yang, Y</t>
  </si>
  <si>
    <t>Wang, Xing; Liu, Guanqi; Cao, Ying; Lu, Xinglin; Guan, Chaoting; Li, Juan; Ma, Jun; Jiang, Jin; Yang, Yi</t>
  </si>
  <si>
    <t>Efficient degradation and deiodination of iopamidol by synergistic •OH and SO4 •_oxidation in O3/PMS system</t>
  </si>
  <si>
    <t>CHEMICAL ENGINEERING JOURNAL</t>
  </si>
  <si>
    <t>Iodinated X-ray contrast media (ICM) are a major source of organic iodine in wastewaters. Current wastewater treatment processes are not effective in eliminating ICM. This study investigates the degradation of ICM in peroxymonosulfate (PMS)system, which simultaneously generates hydroxyl radicals (center dot OH) and sulfate radicals (SO4 center dot- ). Both radicals exhibit high reactivity toward an ICM surrogate, iopamidol (k center dot OH,iopmidol= (2.58 +/- 0.15) 109 M- 1 s- 1 and kSO4 center dot-,iopmidol = (5.18 +/- 0.26) x 109 M- 1 s- 1), thereby exhibiting a synergistic elimination effect. We also systematically evaluate the influence of other factors (including PMS concentration, pH, bicarbonate, and chloride) in affecting the degradation kinetics. Notably, SO4 center dot-suggest a higher deiodination efficiency %) than that of center dot OH. Complete oxidation of inorganic iodine to iodate was achieved in the O3/PMS, whereas residual iodide was still detected in O3/H2O2, likely due to the reduction of HOI/OI- by H2O2. Theoretical Fukui index calculations, in combination with UPLC-TOF-MS/MS analysis, were employed to identify the reactive on IPM and elucidate its transformation pathway under radical attacks. center dot OH primarily degrades iopamidol combination pathways of the cleavage of the side chain and the oxidation of alkane. In contrast, SO4 center dot-favors deiodination to form corresponding hydroxylation products, thereby oxidizing amino group to generate congeners. Taken together, our findings demonstrate that O3/PMS effectively degrades iopamidol and transfer organic iodine to nontoxic iodate, which holds potential in minimizing the formation of iodo-disinfection byproducts in real-world applications.</t>
  </si>
  <si>
    <t>Guan, Chaoting/OIT-8515-2025; Jiang, Jin/MXM-1946-2025; Lu, Xinglin/AAM-3800-2021; Ma, Jun/A-7253-2011</t>
  </si>
  <si>
    <t>1385-8947</t>
  </si>
  <si>
    <t>1873-3212</t>
  </si>
  <si>
    <t>10.1016/j.cej.2025.166362</t>
  </si>
  <si>
    <t>WOS:001544402800002</t>
  </si>
  <si>
    <t>Wang, Y; Zhu, WD; Zhao, YL; Chen, X; Li, T; Zhang, XH; Xia, BH; Huang, J; Wang, SB; Dong, WF</t>
  </si>
  <si>
    <t>Wang, Yang; Zhu, Weida; Zhao, Yulong; Chen, Xiang; Li, Ting; Zhang, Xuhui; Xia, Bihua; Huang, Jing; Wang, Shibo; Dong, Weifu</t>
  </si>
  <si>
    <t>Room-Temperature Phosphorescent Materials: Synergistic Hydrogen Bonds and Ionic Interactions</t>
  </si>
  <si>
    <t>INDUSTRIAL &amp; ENGINEERING CHEMISTRY RESEARCH</t>
  </si>
  <si>
    <t>Organic room-temperature phosphorescent (RTP) polymers lacking aromatic conjugation are highly sought after for advanced anticounterfeiting applications but remain difficult to develop due to poor triplet exciton stabilization and limited emission tunability. Herein, we report a nonconjugated copolymer, poly(maleic anhydride-co-hydroxyethyl methacrylate) (PMHEMA), featuring dual hydrogen-ionic networks that confer both solvent resistance and wavelength-tunable RTP. The synergistic effect of hydrogen bonds and ionic interactions effectively suppresses nonradiative decay. By systematically varying the alkyl side chain length (C1-C6) and thermal treatment duration (0-72 h), spatial hindrance and molecular packing are finely tuned, yielding a phosphorescence lifetime of 73.34 ms, a quantum yield of 16.09%, and emission wavelengths ranging from 490 nm (blue-green) to 630 nm (orange-red). Using two-dimensional correlation spectroscopy (2D-COS), we elucidated the cooperative effects among carbon-based functional groups and their temperature-dependent response sequence. Thermal treatment induces dynamic and reversible cross-linking via ether bonds, enhancing polymer chain rigidity. The resulting materials exhibit excellent environmental stability and solvent resistance. These findings establish PMHEMA derivatives as promising platforms for multilevel dynamic encryption and high-security anticounterfeiting and expand the scope of RTP materials in smart optoelectronic applications.</t>
  </si>
  <si>
    <t>Zhu, Weida/IQW-6734-2023; Zhao, Yulong/OHT-3119-2025</t>
  </si>
  <si>
    <t>0888-5885</t>
  </si>
  <si>
    <t>1520-5045</t>
  </si>
  <si>
    <t>OCT 15</t>
  </si>
  <si>
    <t>10.1021/acs.iecr.5c03399</t>
  </si>
  <si>
    <t>WOS:001585257500001</t>
  </si>
  <si>
    <t>Xu, YF; Li, XY; Ji, MW; Liu, HX; Du, MZ; Wang, ZT; Du, JM; Cong, PQ; Guo, Q; Zhou, ER</t>
  </si>
  <si>
    <t>Xu, Yunfeng; Li, Xiangyu; Ji, Mengwei; Liu, Hongxing; Du, Mengzhen; Wang, Zongtao; Du, Jimin; Cong, Peiqing; Guo, Qing; Zhou, Erjun</t>
  </si>
  <si>
    <t>D-A type photovoltaic polymer donor based on acenaphtho[1,2-b] quinoxaline imide (AQI)</t>
  </si>
  <si>
    <t>D-A type polymer donors are considered to play a significant role in realizing high-performance organic solar cells (OSCs) because of their optoelectronic properties can be fine-tuned via molecular engineering. Devolping novel D or A units and investigating the structure-properties relationship are essential for the further progress of D-A type polymer donors. Recently, our groups exploit a large conjugated electron-accepting block, acenaphtho [1,2-b]quinoxaline imide (AQI), to construct shamrock-shaped non-fullerene acceptors (NFAs) and achieve an amazing power conversion efficiency (PCE). However, AQI as the A building block has not been well-studied in polymer donors. Consequently, in this paper, by incorperating AQI with benzodithiophene containing chlorinated thiophene side chain (BDT-T-Cl) unit, we reported a D-A type polymer donor and named as PBA4. PBA4 exhibits good planarity and a medium optical bandgap, and the corresponding blend film of PBA4:Y6 displays an ordered molecular stacking and good crystallinity as well as balanced charge transport. Finally, the device based on PBA4: Y6 realized a moderate PCE of 10.2 %, probably due to the overly large side chains on both BDT and AQI units. The results indicate that AQI can be utilized to construct D-A type photovoltaic polymer donors, and the photovoltaic performance of AQI-based photovoltaic polymers could be improved by further molecular engineering, especially the balance of solubility and crystallinity.</t>
  </si>
  <si>
    <t>Du, Mengzhen/LRV-0289-2024</t>
  </si>
  <si>
    <t>10.1016/j.dyepig.2025.112880</t>
  </si>
  <si>
    <t>WOS:001497021200001</t>
  </si>
  <si>
    <t>Xue, YX; Li, K; Li, N; Tan, WY; Ge, SJ; Li, M; Zhang, X</t>
  </si>
  <si>
    <t>Xue, Yuxuan; Li, Kun; Li, Na; Tan, Wenyuan; Ge, Shijian; Li, Meng; Zhang, Xuan</t>
  </si>
  <si>
    <t>Engineering a symmetric and positively charged forward osmosis membrane without internal concentration polarization for heavy metal recovery</t>
  </si>
  <si>
    <t>JOURNAL OF MEMBRANE SCIENCE</t>
  </si>
  <si>
    <t>Forward osmosis (FO) membranes are widely used to concentrate organics in wastewater. However, electrostatic attraction due to their inherent electronegativity impedes the recovery of cationic species. Herein, we designed free-standing, symmetric, and positively charged FO membranes by grafting quaternary ammonium side-chain pendants onto a polybenzimidazole backbone to concentrate the metal ions in electroplating wastewater. The FO performance of the membranes was optimized through dual modulation of QA group density and polyethylene glycol-induced pore-structure creation. By using 1.0 M MgCl2 as the draw solutes, the optimal FO membrane (denoted as QPBI-2.0-0.4) achieved a water permeation of 8.4 L m(-2) h(-1) and reverse salt selectivity of similar to 965 L mol(-1), outperforming most FO membranes reported in the existing literature. Owing to the symmetric architecture, the resultant membranes were proved to have negligible internal concentration polarization effect and regulable desalination properties directly relating to their physical thicknesses. The quartz crystal microbalance with dissipation (QCM-D) results revealed a strong interaction between metal ions and the benzimidazole ring within the membrane matrix, which increased the local positive charge density and thus reinforced metal ion rejection through the size exclusion and electrostatic repulsion effects. In the treatment of synthetic electroplating wastewater, the QPBI-2.0-0.4 membrane maintained high rejections of 98.5, 98.1, and 99.4 % for Cu2+, Ni2+, and Zn2+, respectively, enabling six-fold concentration enhancement without apparent mass loss, wheares an over 15 % ion penetration was observed for the commercial HTI-CTA membrane (HTI company, USA).</t>
  </si>
  <si>
    <t>Zhang, Xuan/Q-7942-2016</t>
  </si>
  <si>
    <t>Zhang, Xuan/0000-0001-8149-4580</t>
  </si>
  <si>
    <t>0376-7388</t>
  </si>
  <si>
    <t>1873-3123</t>
  </si>
  <si>
    <t>10.1016/j.memsci.2025.124395</t>
  </si>
  <si>
    <t>WOS:001531378000003</t>
  </si>
  <si>
    <t>Liu, D; Rong, HC; Huang, H; Qian, DP</t>
  </si>
  <si>
    <t>Liu, Da; Rong, Hongchen; Huang, Hong; Qian, Deping</t>
  </si>
  <si>
    <t>Dielectric Constant: A Key Factor Limiting the Future Development of Organic Solar Cells</t>
  </si>
  <si>
    <t>SOLAR RRL</t>
  </si>
  <si>
    <t>Nowadays, with the rapid development of nonfullerene acceptors, organic solar cells (OSCs) have been pushed to the level of industrialization. One of the breakthroughs is the significant reduction of voltage losses by minimizing the energy offset between donor and acceptor materials. Therefore, the local excited (LE) states would intermix with charge transfer (CT) states through hybridization and thermal population effects, and form the LE-CT states. According to the Shockley-Queisser theory, an ideal semiconductor in a solar cell should exhibit 100% of photoluminescence quantum yield and perfect charge separation. As reported, the strongly intermixed LE-CT states indeed enhance the photoluminescence quantum yield, but it delays the CT generation and accelerates the charge recombination due to the strong bound excitons. Hence, it is the time to focus on increasing the dielectric constant (epsilon r) of organic materials. This review systematically summarizes the influence of epsilon r on OSC performance, such as exciton dissociation, CT state characteristics, and voltage loss. Two major techniques of impedance spectroscopy and spectroscopic ellipsometry are introduced for epsilon r measurement. Then, strategies for increasing epsilon r by backbone engineering, side-chain polarity modification, and additive/third-component incorporation are discussed. Finally, we proposed the remained problems that should be concerned for the future studies of dielectric constant.</t>
  </si>
  <si>
    <t>钱, 德平/AAE-8586-2022</t>
  </si>
  <si>
    <t>2367-198X</t>
  </si>
  <si>
    <t>2025 SEP 29</t>
  </si>
  <si>
    <t>10.1002/solr.202500608</t>
  </si>
  <si>
    <t>SEP 2025</t>
  </si>
  <si>
    <t>WOS:001583301000001</t>
  </si>
  <si>
    <t>Huang, CL; Wang, YB; Tseng, CC; Tsai, CL; Chang, YY; Xue, YJ; Lee, J; Chen, HY; Cheng, YJ</t>
  </si>
  <si>
    <t>Huang, Ching-Li; Wang, Yan-Bo; Tseng, Chi-Chun; Tsai, Chia-Lin; Chang, Yung-Yung; Xue, Yung-Jing; Lee, Jin; Chen, Hong-Yi; Cheng, Yen-Ju</t>
  </si>
  <si>
    <t>Side-chain engineering of benzimidazole-incorporated A-DA'D-A type acceptors for organic solar cells and field-effect transistors</t>
  </si>
  <si>
    <t>JOURNAL OF THE CHINESE CHEMICAL SOCIETY</t>
  </si>
  <si>
    <t>A series of A-DA'D-A type non-fullerene acceptors (NFAs) using benzimidazole (BIm) as the central acceptor (A') were developed. Side-chain engineering at the carbon-2 (C2) position (hydrogen or methyl or ethylhexyl) of the central imidazole moiety leads to the formation of three I-series NFAs, IM-H, IM-M, and IM-EH, respectively. The PM6:IM-M bulk heterojunction (BHJ) device demonstrated the highest power conversion efficiency (PCE) of 10.09% due to its better miscibility with the PM6 polymer. Furthermore, the planar-mixed heterojunction (PMHJ) devices of PM6/IM-M further improved the PCE to 12.68%. The observed enhancement can be attributed to the efficient charge transfer and the mitigation of recombination processes. Meanwhile, IM-M exhibited ambipolar charge transport behavior in organic field-effect transistor (OFET) devices, with balanced electron and hole mobilities of 0.028 and 0.024 cm2 V-1 s-1, respectively.</t>
  </si>
  <si>
    <t>Chang, Yung-Yung/AAF-6808-2021</t>
  </si>
  <si>
    <t>0009-4536</t>
  </si>
  <si>
    <t>2192-6549</t>
  </si>
  <si>
    <t>2025 SEP 25</t>
  </si>
  <si>
    <t>10.1002/jccs.70091</t>
  </si>
  <si>
    <t>WOS:001578991600001</t>
  </si>
  <si>
    <t>Tang, H; Qin, ZY; Jiang, JD; Tan, JT; Xie, ZC; Liu, RP; Fu, YJ; Liu, QM; Liao, HL; Yue, W; Wang, Q; He, DY</t>
  </si>
  <si>
    <t>Tang, Han; Qin, Zhaoyang; Jiang, Jiandong; Tan, Juntao; Xie, Zhichao; Liu, Riping; Fu, Yujun; Liu, Qiming; Liao, Hailiang; Yue, Wan; Wang, Qi; He, Deyan</t>
  </si>
  <si>
    <t>Tailoring Side Chain in Organic Donor-Pi-Acceptor Copolymeric Mixed Conductors for Efficient and Extremely Stable Artificial Synapses</t>
  </si>
  <si>
    <t>SMALL</t>
  </si>
  <si>
    <t>Environmentally stable, thermally robust, and computationally efficient organic synapses are crucial for advancing neuromorphic electronics. However, achieving these features in devices remains challenging due to the absence of ideal polymeric conductors. Herein, it is designed and synthesized two novel donor-pi-acceptor (D-pi-A) copolymers with tailored side-chain length, using them as channels for artificial synapses. The incorporation of alkyl chains with varying length, terminated with Boc (t-butyloxycarbonyl) group in the acceptor moiety regulates crystalline phase in bulk films, enabling self-assembles at elevated temperature. Meanwhile, the inclusion of ethylene glycol (EG) groups in the donor moieties enhances ion migration, promoting synergistic ion behavior, synaptic functionality, and stability. Under ambient conditions, devices with longer side chain demonstrated impressive non-volatile time constant (tau) of 9399.9 s, enlarged dynamic range of approximate to 91x, 16-week operational durability. Remarkably, this polymer exhibited exceptional thermal resilience, maintaining performance even after annealing at 280 degrees C, making them highly compatible with large-scale hardware integration. Leveraging the devices' outstanding stability, a reliable reservoir computing system that maintained a computing error within 1% over a 4-week span and 2% after annealing is constructed. This work underscores that strategic molecular design can significantly improve neuromorphic device performance, ensuring reliable operation under extreme conditions.</t>
  </si>
  <si>
    <t>1613-6810</t>
  </si>
  <si>
    <t>1613-6829</t>
  </si>
  <si>
    <t>2025 SEP 24</t>
  </si>
  <si>
    <t>10.1002/smll.202505310</t>
  </si>
  <si>
    <t>WOS:001577476500001</t>
  </si>
  <si>
    <t>Roh, H; Su, AY; Oh, C; Oppenheim, JJ; Kulik, HJ; Gumyusenge, A; Dinca, M</t>
  </si>
  <si>
    <t>Roh, Heejung; Su, Alice Y.; Oh, Changhwan; Oppenheim, Julius J.; Kulik, Heather J.; Gumyusenge, Aristide; Dinca, Mircea</t>
  </si>
  <si>
    <t>Turning 2D MOFs into Mixed Ionic-Electronic Conductors via Side Chain Engineering</t>
  </si>
  <si>
    <t>JOURNAL OF THE AMERICAN CHEMICAL SOCIETY</t>
  </si>
  <si>
    <t>Despite the wide-ranging use of metal-organic frameworks (MOFs) as either electronic or ionic conductors, mixed electron-ion conductivity in MOFs remains largely unexplored. Here, we report a new methodology for designing new mixed ionic-electronic conductors (MIECs) by tethering ionophilic ethylene glycol (EG) functional groups onto an electrically conductive MOF (cMOF), yielding M3(HIR3-TAT)2 (M = Ni, Cu; TAT = triazatruxene; R = nBu, 1EG, 2EG; referred to as M-R). Leveraging systematic physicochemical variability in the pore microenvironment while preserving in-plane conjugation of the functionalizable TAT core, we orthogonally tune and enhance electronic conjugation through the crystalline framework (in-plane and out-of-plane) and ionic transport through defined abundant pore channels. Upon LiTFSI incorporation, Ni-1EG exhibits the highest room-temperature ionic conductivity (1.1 x 10-4 S/cm) in the series-nearly an order of magnitude higher than Ni-nBu (4.18 x 10-5 S/cm), which features a hydrophobic side chain of the same length-while preserving the electronic conductivity (similar to 5 x 10-4 S/cm). Consistent with previous reports, the added steric bulk in Ni-2EG reduces electronic conductivity to 2.7 x 10-4 S/cm, though the drop is minimal compared to aliphatic side chains of similar length. Counterintuitively, despite improved polarity, ionic conductivity significantly decreases in Ni-2EG, to 2.58 x 10-6 S/cm, likely due to pore blockage, with electronic conductivity largely remaining unchanged at 2.7 x 10-6 S/cm. This study unlocks the potential of cMOFs as tunable platforms for the decoupled control of ionic and electronic transport via side chain engineering. It opens doors to the unexplored design space of single-phase porous crystalline MIECs with orthogonal integration of functionalities tailored for emerging applications in chemistry, physics, and materials science.</t>
  </si>
  <si>
    <t>Oppenheim, Julius/AAP-9428-2020; Dinca, Mircea/Y-2979-2019; Gumyusenge, Aristide/ABE-5669-2020</t>
  </si>
  <si>
    <t>Dinca, Mircea/0000-0002-1262-1264</t>
  </si>
  <si>
    <t>0002-7863</t>
  </si>
  <si>
    <t>1520-5126</t>
  </si>
  <si>
    <t>2025 SEP 22</t>
  </si>
  <si>
    <t>10.1021/jacs.5c11806</t>
  </si>
  <si>
    <t>WOS:001576245700001</t>
  </si>
  <si>
    <t>Zhang, K; Zhang, SH; Tang, SH; Xi, ZD; Zhang, Q; Chen, Y; Zhai, JY; Tian, WG</t>
  </si>
  <si>
    <t>Zhang, Ke; Zhang, Songhang; Tang, Shuheng; Xi, Zhaodong; Zhang, Qian; Chen, Yang; Zhai, Jiayu; Tian, Wenguang</t>
  </si>
  <si>
    <t>Pore development and evolution mechanism during hydrocarbon generation: insights from hydrous pyrolysis simulation experiment</t>
  </si>
  <si>
    <t>ENERGY EXPLORATION &amp; EXPLOITATION</t>
  </si>
  <si>
    <t>The pore structure of coal reservoir is the primary space of natural gas adsorption and storage, and the structural characteristics of coal in thermal evolution are crucial for the enrichment and exploration of coalbed methane. However, the current research mainly concentrates on the pore structure change process in actual geology, and there is a lack of continuous analysis of the pore structural evolution characteristics of coal samples with different maturity through hydrous pyrolysis simulation experiments. Coal samples (Ro = 0.6%) were collected from the Hedong coalfield, and hydrous simulation experiments (a total of 5 coal samples, temperatures from 250 degrees C to 450 degrees C, 50 degrees C interval, 24 h duration) were carried out using a large amounts of water and low-rank bituminous coal samples (1.5 mL water : 1 g coal) in a pyrolysis closed system to investigate the evolutionary of the pore structure parameters during the hydrocarbon-generating process. The results showed that the pore volume and specific surface area of ultra-micropore consistently dominated the pore structure. For micropores and transition pores, the aromatization and side-chain breakage result in a decrease in specific surface area and pore volume. The dissolution of organic acids and the release of volatile components lead to an increase in the specific surface area and pore volume of the transitional pores. Furthermore, the intensification of coalification, the rearrangement of pore structures, causes the secondary pores to be compressed, and the transitional pores further decrease. HQ-O exhibits a rough pore surface and an uneven pore structure, while as the temperature increases, the pore surface of HQ-250-HQ-450 becomes relatively rougher and the pore structure grows more uniform. With the increase of total gas yield, the coal structure is dense, resulting in the pores reduction or closure, and pore volume and the specific surface area decrease. Additionally, water promoted the minerals dissolution and the migration of Si and Al within the coal samples, which swell and deform the coal skeleton and merge to form new pores. The geological evolution of coal under the influence of temperature, gas generation, and water-coal interaction is divided into three stages, and the pore structural evolution model is established. By studying the pore structure evolution of coal samples at different coalification stages through hydrous pyrolysis simulation provides important scientific basis and guidance for the exploration and development of CBM resources in actual geological characteristics of coal reservoirs.</t>
  </si>
  <si>
    <t>0144-5987</t>
  </si>
  <si>
    <t>2048-4054</t>
  </si>
  <si>
    <t>10.1177/01445987251374849</t>
  </si>
  <si>
    <t>WOS:001576319000001</t>
  </si>
  <si>
    <t>Zhang, JM; Chen, LF; Bai, YQ; Xue, MH; Sheng, WW; Hou, BF; Zeng, HY; Shang, XX</t>
  </si>
  <si>
    <t>Zhang, Jiamin; Chen, Lifeng; Bai, Yongqing; Xue, Minghao; Sheng, Weiwei; Hou, Baofeng; Zeng, Huiyong; Shang, Xiaoxia</t>
  </si>
  <si>
    <t>A Novel Multi-Block High-Cationic Density Side-Chain Quaternary Ammonium Polymer: Preparation and Performance Evaluation of Clay Stabilizer for Efficient Water Injection</t>
  </si>
  <si>
    <t>JOURNAL OF APPLIED POLYMER SCIENCE</t>
  </si>
  <si>
    <t>To address the technical challenges of poor temperature resistance and the tendency to cause reservoir pore throat blockage in traditional organic cationic polymer (OCP) clay stabilizers, this paper successfully prepared a high cationic density branched ternary network polymer (PATSA) through emulsion polymerization, using (3-acrylamidopropyl) trimethylammonium chloride (APTAC), styrene (St), and acrylonitrile (AN) as functional monomers, and 1,4-divinylbenzene (DVB) as a crosslinking agent. The successful synthesis of PATSA was confirmed by infrared spectroscopy (FTIR) and nuclear magnetic resonance spectroscopy (1H NMR); gel permeation chromatography (GPC) and polyelectrolyte titration tests showed a number average molecular weight (M n) of 5.83 x 104 and a heavy average molecular weight (M w) of 8.72 x 104 (PDI = 1.50), and cationic charge densities up to 4.6 meq/g. Zeta potential as well as contact angle tests show that PATSA achieves charge reversal and promotes aggregation of clay particles to inhibit hydration swelling through electrostatic adsorption of quaternary ammonium groups to the clay surface, while not causing reservoir damage due to wetting reversal. Zeta potential and contact angle tests demonstrate that PATSA achieves charge reversal through electrostatic adsorption between quaternary ammonium groups and clay surfaces, promoting clay particle aggregation to inhibit hydration swelling, while avoiding wettability alteration that could cause formation damage. The results of core flow experiments show that under the harsh conditions of high temperature (120 degrees C), high clay content (9%), and high flow rate (0.5 mL/min), PATSA exhibits excellent clay stabilization performance, scouring resistance, and reservoir protection ability, and is able to effectively inhibit clay particle transport and reduce water-sensitive reservoir damage, with a significantly better performance than the comparison reagents. The correlation pattern between water-sensitive injury and clay particle size was revealed by clay particle size analysis; XRD analysis showed that the montmorillonite layer spacing shrank to a relative minimum after PATSA treatment (d001 = 1.559 nm); SEM observations confirm that PATSA effectively inhibits clay swelling and dispersion through electrostatic adsorption and hydrophobic interactions, while producing fewer aggregated flocculated clay particles compared to conventional OCP treatment, thereby avoiding secondary plugging issues. The mechanism study shows that PATSA achieves effective prevention and control of clay hydration expansion and migration and mitigation of water-sensitive reservoir damage through the synergistic mechanism of quaternary ammonium cation electrostatic adsorption, styrene hydrophobic barrier, and acrylonitrile cyano group. This study provides an innovative solution with both high efficiency and low risk for reservoir protection in water injection development of low permeability reservoirs.</t>
  </si>
  <si>
    <t>曾, 慧勇/IXW-9174-2023</t>
  </si>
  <si>
    <t>0021-8995</t>
  </si>
  <si>
    <t>1097-4628</t>
  </si>
  <si>
    <t>2025 SEP 21</t>
  </si>
  <si>
    <t>10.1002/app.58021</t>
  </si>
  <si>
    <t>WOS:001574905100001</t>
  </si>
  <si>
    <t>Liu, M; Xia, CJ; Peng, H; Zvereva, E; Burns, DC; Fontaine, J; Blum, A; Spentzos, AZ; Wang, ZY; Peaslee, GF; Sauve, S; Venier, M; Diamond, ML</t>
  </si>
  <si>
    <t>Liu, Min; Xia, Chunjie; Peng, Hui; Zvereva, Elizaveta; Burns, Darcy C.; Fontaine, Justine; Blum, Arlene; Spentzos, Ariana Z.; Wang, Zhanyun; Peaslee, Graham F.; Sauve, Sebastien; Venier, Marta; Diamond, Miriam L.</t>
  </si>
  <si>
    <t>Nonpolymeric Per- and Polyfluoroalkyl Substances (PFAS) and Side-Chain Fluorinated Polymers in Canadian Building Products</t>
  </si>
  <si>
    <t>ENVIRONMENTAL SCIENCE &amp; TECHNOLOGY</t>
  </si>
  <si>
    <t>To understand if exterior building products are a source of perfluoroalkyl and polyfluoroalkyl substances (PFAS) to the environment, we measured PFAS in 145 samples of paints, sealers, and textiles, mostly intended for exterior use. We first developed a combined one and two-dimensional diffusion-ordered spectroscopy (1D and 2D-DOSY) fluorine nuclear magnetic resonance (F-19 NMR) method to characterize and quantify side-chain fluorinated polymers (SCFPs) and nonpolymeric PFAS. Results showed that 36% (22/61), 24% (13/54), and 70% (21/30) of tested paints, sealers, and textiles contained total organic fluorine (TOF) at 0.1-16.1, 0.4-2488, and 0.34-74.0 mu mol/g, respectively. Paints mainly contained 6:2 fluorotelomer (FT) and aromatic-CF3 nonpolymeric PFAS, while sealers also contained 6:2 FT SCFPs and perfluorobutane sulfonyl fluoride (PBSF)-based PFAS. Textiles contained 6:2 FT, 8:2 FT, and PBSF-based PFAS indicative of SCFPs. Advanced mass spectrometry methods revealed that paints and sealers with 6:2 FT nonpolymers mainly contained 6:2 fluorotelomer phosphate mono-, di-, and triesters (6:2 mono-, di-, and triPAPs) and 6:2 FT dipyrophosphate, while textiles primarily contained n:2 fluorotelomer alcohols (n:2 FTOH, n = 6, 8) or N-methyl perfluorobutane sulfonamide alcohol (MeFBSE). Based on the PFAS found in these products and the recommendation to reapply the coatings to protect exterior/interior surfaces and the replacement of exterior textiles, these results indicate that building products likely contribute polymeric and nonpolymeric PFAS to the environment.</t>
  </si>
  <si>
    <t>Diamond, Miriam/D-1770-2013; Wang, Zhanyun/JOJ-8636-2023; Sauve, Sebastien/K-5671-2012; Peaslee, Graham/M-7906-2019; Xia, Chunjie/ITT-0504-2023</t>
  </si>
  <si>
    <t>0013-936X</t>
  </si>
  <si>
    <t>1520-5851</t>
  </si>
  <si>
    <t>SEP 30</t>
  </si>
  <si>
    <t>10.1021/acs.est.5c07012</t>
  </si>
  <si>
    <t>WOS:001575496400001</t>
  </si>
  <si>
    <t>Kobya, V; Karakuzu, K; Mardani, A; Felekoglu, B; Ramyar, K; Assaad, J; El-Hassan, H</t>
  </si>
  <si>
    <t>Kobya, Veysel; Karakuzu, Kemal; Mardani, Ali; Felekoglu, Burak; Ramyar, Kambiz; Assaad, Joseph; El-Hassan, Hilal</t>
  </si>
  <si>
    <t>Compatibility of Polycarboxylate Ethers with Cementitious Systems Containing Fly Ash: Effect of Molecular Weight and Structure</t>
  </si>
  <si>
    <t>BUILDINGS</t>
  </si>
  <si>
    <t>Substituting cement with mineral additives like fly ash is increasingly essential for sustainable production. While replacement rates largely depend on fresh-state properties, the interaction between fly ash and polycarboxylate ether (PCE) molecular structures remains underexplored. In this regard, this study investigates the effect of PCE molecular structures and weight on the rheology, setting, and strength of cementitious systems containing up to 45% fly ash additions. Seven distinct PCE possessing different molecular weights (27,000-78,000 g/mol) as well as backbone and side chain lengths are synthesized. The interaction between PCE and solid particles was explored through total organic carbon, dynamic light scattering, and gel permeation chromatography. Test results showed that the adsorption rates of the cement and fly ash particles within the cementitious composites improved by up to 90% with fly ash replacement and upon using PCE with a medium molecular weight of 56,000 g/mol, backbone length of 21 k, and short side chain length of 1000 g/mol. This has resulted in a 75% reduction in the material's apparent viscosity, delayed setting times of up to 38%, and improved early- and late-age compressive strengths of up to 123%. Such data can interest cement and admixture producers in proposing suitable PCEs for superior fly ash concrete performance.</t>
  </si>
  <si>
    <t>Assaad, Joseph/Q-6140-2018; Mardani, Ali/C-7860-2015; felekoglu, burak/B-3265-2009; Hassan, Hilal/S-4832-2019</t>
  </si>
  <si>
    <t>El-Hassan, Hilal/0000-0001-9349-350X; Mardani, Ali/0000-0003-0326-5015;</t>
  </si>
  <si>
    <t>2075-5309</t>
  </si>
  <si>
    <t>SEP 16</t>
  </si>
  <si>
    <t>10.3390/buildings15183351</t>
  </si>
  <si>
    <t>WOS:001580657200001</t>
  </si>
  <si>
    <t>Ni, W; Wang, RC; Lv, ZC; Li, MM</t>
  </si>
  <si>
    <t>Ni, Wang; Wang, Ruochen; Lv, Zhaochen; Li, Miaomiao</t>
  </si>
  <si>
    <t>Improved performance of small molecule based organic photovoltaic cells enabled by fine-tuning side chains on terminal units</t>
  </si>
  <si>
    <t>Achieving proper film morphology and microstructures via molecular engineering remains a long-standing challenge for small-molecule-based organic photovoltaics. Herein, we designed and synthesized a small molecule donor, namely DAR3TBDT with allyl substituted rhodanine as terminal units. Compared to molecule DR3TBDT with ethyl groups on the terminus, DAR3TBDT in film showed similar optical bandgap and frontier molecular orbital energy levels, but more ordered molecular packing. Moreover, DAR3TBDT:PC71BM blend film exhibited better morphology with more defined phase separation in comparison to DR3TBDT:PC71BM counterpart. Owing to efficient exciton dissociation, charge transport and charge collection, the photovoltaic devices based on DAR3TBDT:PC71BM achieved a power conversion efficiency (PCE) of 9.05 % under one sun (AM 1.5G, 100 mW cm(-2)), outperforming the DR3TBDT:PC71BM-based counterparts (7.94 %). Furthermore, the DAR3TBDT:PC71BM-based devices are applied as the laser power converter under 532 nm laser irradiation, and achieved a high PCE of 23.11 %. This study opens a promising avenue to develop high-performance photovoltaic materials from the view of side chain engineering.</t>
  </si>
  <si>
    <t>10.1016/j.orgel.2025.107339</t>
  </si>
  <si>
    <t>WOS:001575542700001</t>
  </si>
  <si>
    <t>Ghosh, A; Sharma, T; Pandey, J</t>
  </si>
  <si>
    <t>Ghosh, Anupam; Sharma, Tinku; Pandey, Jay</t>
  </si>
  <si>
    <t>Review on proton conducting membrane for PEM water electrolyser: A sustainable approach for green hydrogen production</t>
  </si>
  <si>
    <t>JOURNAL OF ELECTROANALYTICAL CHEMISTRY</t>
  </si>
  <si>
    <t>Water electrolysis with proton exchange membranes (PEMs) holds great promise for producing green hydrogen, but the industry still leans heavily on expensive perfluorosulfonic acid membranes like Nafion. In this review, we dive into both established PFSA materials (Nafion, Aquivion, and PFSA-polymer composites) and emerging hydrocarbon-based alternatives (sulfonated poly(arylene ether sulfone), sulfonated poly(ether ether ketone), polyphenylene sulfone, and related systems). Rather than merely listing developments, we uncover how modifications at the molecular level-backbone chemistry, side-chain length, reinforcement by inorganic fillers, and crosslinking-translate into real gains in proton conductivity, mechanical strength, and chemical resilience. We also examine how these membranes behave under the harsh, acidic conditions of a working PEM water electrolyser, pinpointing the main pathways of performance loss (delamination, excessive swelling, and chemical degradation). Drawing on the latest studies, we highlight novel composite strategies-such as hybrid organic-inorganic networks and graft-copolymer architectures-that bring hydrocarbon membranes closer to PFSA benchmarks, often at dramatically lower cost. Finally, we sketch out future directions: designing acid-stable ion channels, refining scalable synthesis techniques, and integrating advanced reinforcement approaches to bridge the gap between lab-scale promise and industrial reality. By illuminating these structure-property links and proposing targeted research avenues, this review charts a clear path toward affordable, highperformance PEMs for a truly sustainable hydrogen economy.</t>
  </si>
  <si>
    <t>1572-6657</t>
  </si>
  <si>
    <t>1873-2569</t>
  </si>
  <si>
    <t>SEP 15</t>
  </si>
  <si>
    <t>10.1016/j.jelechem.2025.119286</t>
  </si>
  <si>
    <t>WOS:001524218300001</t>
  </si>
  <si>
    <t>Liu, P; Zhao, JR; Wang, J; Li, JH; Zhang, XR; Zhang, ZX; Guo, YP; Zhu, KC; Jia, HZ</t>
  </si>
  <si>
    <t>Liu, Peng; Zhao, Jiarui; Wang, Jian; Li, Jiahui; Zhang, Xinrui; Zhang, Zixuan; Guo, Yiping; Zhu, Kecheng; Jia, Hanzhong</t>
  </si>
  <si>
    <t>Side-chain chlorine controls interfacial photoreacivity of aliphatic hydrocarbon microplastics by modulating production of persistent free radicals and reactive oxygen species</t>
  </si>
  <si>
    <t>WATER RESEARCH</t>
  </si>
  <si>
    <t>Microplastics actively participate in the sorption and transformation of organic pollutants, while the effect of microplastic-contained heteroatoms on the transformation of sorbed pollutants remains unknown. This study deeply reveals the role and mechanism of side-chain chlorine in aliphatic microplastics for modulating their interfacial photoreactivity using N-(1,3-dimethylbutyl)-N'-phenyl-p-phenylenediamine (6PPD) as a model pollutant. The phototransformation of 6PPD in aliphatic microplastics was enhanced by the side-chain chlorine, with rates 1.15-2.47 times higher than that of individual 6PPD. However, the enhancement became reversed with a higher chlorine content. The abnormal phenomenon was mainly because side-chain chlorine accelerated the production of persistent free radicals (PFRs), but synchronously consumed the reactive oxygen species (ROS) (center dot OH and O2 center dot-). In-situ EPR detected the formation of chlorine radical (Cl center dot) due to the reactions between center dot OH and Cl-, where Cl- was generated from the attack of 6PPD-derived ROS on carbon-chlorine bond of microplastics. The formed Cl center dot further transferred electrons to polymers to yield abundant chlorine-containing PFRs and Cl- to finally decrease the amounts of ROS for attacking 6PPD. The findings highlight the important role of side-chain chlorine in modulating the interfacial behavior and combined risk of aliphatic microplastics, which exhibit a highly active behavior and risk compared to microplastics without heteroatoms in natural environment.</t>
  </si>
  <si>
    <t>0043-1354</t>
  </si>
  <si>
    <t>1879-2448</t>
  </si>
  <si>
    <t>10.1016/j.watres.2025.124044</t>
  </si>
  <si>
    <t>WOS:001519115700002</t>
  </si>
  <si>
    <t>Ouyang, J; Pan, LX; Gu, F; Lei, SM; Chen, X; Zhou, Y; Zhu, X; Cui, CZ</t>
  </si>
  <si>
    <t>Ouyang, Ji; Pan, Lixu; Gu, Fei; Lei, Shiming; Chen, Xin; Zhou, Yan; Zhu, Xin; Cui, Changzheng</t>
  </si>
  <si>
    <t>In-situ bioaugmentation with indigenous Pseudomonas sp. BO3-4 for the remediation of organic-contaminated groundwater in an operating petrochemical enterprise</t>
  </si>
  <si>
    <t>Petrochemical-contaminated groundwater presents challenges for in-situ bioremediation, particularly due to low temperatures and the coexistence of multiple aromatic pollutants that hinder microbial survival and degradation activity. The indigenous strain BO3-4, isolated from a petrochemical-contaminated site, demonstrated high degradation efficiency toward benzene, toluene, ethylbenzene, xylene, styrene, and naphthalene at 20 degrees C. BO3-4 is the first reported bacterium with chromosomal gene clusters encoding both toluene 1,2-dioxygenase and xylene monooxygenase simultaneously, which confer dual catabolic pathways: aromatic ring dioxygenation for degrading benzene, toluene, and naphthalene, and side-chain monooxygenation for metabolizing toluene, ethylbenzene, and xylene. Field-scale application of the indigenous strain BO3-4 at the source-contaminated site reduced total concentrations of aromatic compounds from 3300.9 to 4858.1 mu g/L to below 500.0 mu g/L (benzene &lt;50.0 mu g/L) within 40 days, effectively controlling the xylene rebound observed during the mid-treatment phase (days 10-20). This process was accompanied by a 2.89 and 2.54 log copies/mL increase in the key degradation genes todC1 and todE. The spatial and temporal dynamics revealed that the abundance of Pseudomonas spp. increased by 15.66 %-50.28 % at the 2.6-2.8 m radius from the injection well, and eventually stabilized to a range of 1.51 %-8.25 % as aromatic compounds declined. These findings highlight in-situ bioaugmentation with indigenous degrading bacteria as a sustainable and field-applicable biotechnology for minimizing hazardous pollutants in groundwater at operating petrochemical enterprises.</t>
  </si>
  <si>
    <t>10.1016/j.cej.2025.166498</t>
  </si>
  <si>
    <t>WOS:001550410500005</t>
  </si>
  <si>
    <t>Zhang, S; Wang, YF; Mason, GT; Qian, ZY; Rondeau-Gagne, S; Gu, XD</t>
  </si>
  <si>
    <t>Zhang, Song; Wang, Yunfei; Mason, Gage T.; Qian, Zhiyuan; Rondeau-Gagne, Simon; Gu, Xiaodan</t>
  </si>
  <si>
    <t>Thin-Film Fracture Behavior for Diketopyrrolopyrrole Semiconducting Polymeric Films</t>
  </si>
  <si>
    <t>CHEMISTRY OF MATERIALS</t>
  </si>
  <si>
    <t>Fracture energy, which quantifies a material's resistance to the propagation of a pre-existing crack, is a key parameter for ensuring the mechanical reliability of stretchable organic electronic devices. However, most existing methods, such as a four-point bending fracture energy, utilized for measuring the fracture energy of semiconducting polymeric thin films are complicated by substrate effects, making it challenging to isolate the intrinsic behavior of the film from interfacial influences. In this study, we employed a pseudo free-standing pure shear method to systematically investigate the cohesive fracture energy of poly(diketopyrrolopyrrole-terthiophene) P(DPP-T)-based thin films to examine the effects of nanoconfinement, side chain length, degree of crystallinity, and strain rates. This method effectively eliminates substrate interference, enabling a direct assessment of the cohesive fracture energy of P(DPP-T) thin films. We found that thinner films and those with lower molecular weights exhibited significantly reduced fracture energies due to diminished chain entanglements. Additionally, films with shorter side chains displayed notably higher fracture energies, which were attributed to an increase in the degree of crystallinity. Finally, slower strain rates led to higher fracture energies, consistent with an enhanced stress relaxation. These insights offer practical guidelines for designing mechanically robust semiconducting polymers, contributing to the advancement of reliable, durable, flexible, and wearable electronic devices.</t>
  </si>
  <si>
    <t>Gu, Xiaodan/G-4029-2015; Rondeau-Gagné, Simon/AAT-4321-2020; zhang, song/AAQ-5089-2020</t>
  </si>
  <si>
    <t>Gu, Xiaodan/0000-0002-1123-3673;</t>
  </si>
  <si>
    <t>0897-4756</t>
  </si>
  <si>
    <t>1520-5002</t>
  </si>
  <si>
    <t>OCT 14</t>
  </si>
  <si>
    <t>10.1021/acs.chemmater.5c01388</t>
  </si>
  <si>
    <t>WOS:001571596900001</t>
  </si>
  <si>
    <t>Cao, XQ; Wang, HL; Kou, HM; Zhu, QQ; Pan, JY; Wang, XC; Liu, DY; Yang, RQ</t>
  </si>
  <si>
    <t>Cao, Xuanqing; Wang, Hongli; Kou, Hongming; Zhu, Qianqian; Pan, Jiye; Wang, Xunchang; Liu, Deyu; Yang, Renqiang</t>
  </si>
  <si>
    <t>Employing Fully Asymmetric Building Block Toward High-Performance Stretchable Active Layer for Organic Solar Cells</t>
  </si>
  <si>
    <t>AGGREGATE</t>
  </si>
  <si>
    <t>Stretchable organic solar cells (SOSCs) show remarkable promise to provide energy to wearable electronic devices. Despite the rigid organic solar cells (OSCs) have made power conversion efficiencies (PCEs) of over 20%, tensile properties of these high-performance active layers are often compromised and thus do not make them suitable for stretchable wearable electronic devices. In this regard, we designed a novel donor polymer, PBDTT-Fully-asy, with the fully asymmetric structure of the backbone and side chains, and incorporated it in PM6:Y6 blend to construct a stretchable light-harvesting active layer. Compared with a symmetric structure, the center of the fully asymmetric fused-ring is shifted, which can weaken self-aggregation. In addition, strong twisting and disruption of the aggregation can occur due to the side chain of the rigid benzene ring. Furthermore, the improved backbone coplanarity and increased pi-conjugation are advantageous for improving the charge transfer ability and photovoltaic performance. Our obtained results suggest that incorporation of PBDTT-Fully-asy (10 wt%) can efficiently improve the stretchability and photovoltaic performance. Our proposed molecular design approach will contribute to the acceleration of high-performance stretchable.</t>
  </si>
  <si>
    <t>Liu, Deyu/ISA-7952-2023</t>
  </si>
  <si>
    <t>2692-4560</t>
  </si>
  <si>
    <t>2025 SEP 11</t>
  </si>
  <si>
    <t>e70158</t>
  </si>
  <si>
    <t>10.1002/agt2.70158</t>
  </si>
  <si>
    <t>WOS:001568004200001</t>
  </si>
  <si>
    <t>Lin, X; Li, CY; Lai, ZX; Wang, W; Zhen, HY; Ling, QD</t>
  </si>
  <si>
    <t>Lin, Xin; Li, Chunyan; Lai, Zixuan; Wang, Wen; Zhen, Hongyu; Ling, Qidan</t>
  </si>
  <si>
    <t>Tailoring side chains of dithienophthalimide-based non-halogenated polymer donors to enhance the efficiency of polymer solar cells</t>
  </si>
  <si>
    <t>POLYMER CHEMISTRY</t>
  </si>
  <si>
    <t>Non-halogenated low-toxicity polymers demonstrate significant commercialization potential for organic solar cells (OSCs), owing to their advantageous processing characteristics. However, high-performance non-halogenated polymer donors are still limited. Herein, dithienophthalimide (DPI)-based monomers bearing various side chains have been synthesized at low cost. And then, a series of BDT-DPI-based non-halogenated polymer donors (PBDT-DPIs) were designed and obtained by synergistically tuning the alkyl side chains on both DPI and BDT units, in which thiophene served as a pi-bridge, BDT with various side chains (R1) served as the D unit, and DPI with various side chains (R2) served as the A unit. The effects of alkyl side chains on the polymers' optical absorption spectra, electronic and morphological properties, and photovoltaic performance were investigated to understand the relationship between the structure and photovoltaic (PV) performance. It is found that alkyl side chain lengths have negligible impact on optical absorption spectra due to their same backbones, but have profound effects on their aggregation and crystallinity in the solid state. The length of alkyl side chains has a significant influence on the active layer morphology, charge transport properties, and device performance when blended with the non-fullerene acceptor BTP-eC9. As a result, through fine-tuning the alkyl side chains, a PBDT(8,10)-DPI(4,6)-based device exhibited the highest PCE of 14.56%, with an open-circuit voltage of 0.85 V, a short-circuit current density of 24.76 mA cm-2, and a fill factor of 69.05%. Our study demonstrated that tailoring the side chain on both BDT and DPI units could optimize crystallinity, aggregation and miscibility for developing high-performance non-halogenated polymer donors.</t>
  </si>
  <si>
    <t>1759-9954</t>
  </si>
  <si>
    <t>1759-9962</t>
  </si>
  <si>
    <t>10.1039/d5py00772k</t>
  </si>
  <si>
    <t>WOS:001571759500001</t>
  </si>
  <si>
    <t>Chang, YY; Tsai, CL; Xue, YJ; Wang, YB; Huang, KH; Huang, YC; Tseng, CC; Lee, J; Jiang, BH; Chen, CP; Cheng, YJ</t>
  </si>
  <si>
    <t>Chang, Yung-Yung; Tsai, Chia-Lin; Xue, Yung-Jing; Wang, Yan-Bo; Huang, Kuo-Hsiu; Huang, Yu-Chi; Tseng, Chi-Chun; Lee, Jin; Jiang, Bing-Huang; Chen, Chih-Ping; Cheng, Yen-Ju</t>
  </si>
  <si>
    <t>Side-chain engineering of C-shaped ortho-benzodipyrrole-based A-D-A acceptors for energy loss suppression in organic photovoltaics</t>
  </si>
  <si>
    <t>JOURNAL OF MATERIALS CHEMISTRY A</t>
  </si>
  <si>
    <t>The elimination of the electron-deficient thiadiazole unit from Y-series materials has led to the development of a new class of ortho-benzodipyrrole-based A-D-A-type NFAs. In this study, we designed and synthesized two CB-BO and CB-HD acceptors substituted with 2-butyloctyl and 2-hexyldecyl alkyl chains at the beta-position of the thiophene units, respectively. The side-chain engineering significantly influences molecular packing and thin-film morphology. Compared to the linear side-chain counterpart, CB-BO and CB-HD with branched side chains exhibit blue-shifted absorption and enhanced intermolecular interactions. Single-crystal structure analysis revealed that CB-BO forms a more compact 3D kaleidoscope-like packing network, whereas CB-HD shows looser intermolecular packing due to its larger steric hindrance. Both PM6:CB-BO and PM6:CB-HD devices exhibited impressive Voc values of 0.95 V and 0.96 V, respectively, attributed to their larger energy bandgap and suppressed non-radiative energy loss. Y6-16, with a relatively red-shifted absorption, was incorporated as a secondary acceptor. The ternary PM6:Y6-16:CB-BO device achieved a PCE of 17.34%, with an increased Voc of 0.90 V and Jsc of 26.00 mA cm-2, representing one of the highest performance values in inverted OPVs.</t>
  </si>
  <si>
    <t>Chen, Chih-Ping/D-1416-2014; Jiang, Bing Huang/LMO-9145-2024; Chang, Yung-Yung/AAF-6808-2021</t>
  </si>
  <si>
    <t>2050-7488</t>
  </si>
  <si>
    <t>2050-7496</t>
  </si>
  <si>
    <t>2025 SEP 9</t>
  </si>
  <si>
    <t>10.1039/d5ta04977f</t>
  </si>
  <si>
    <t>WOS:001584735000001</t>
  </si>
  <si>
    <t>Huang, J; Liu, XL; Yuan, Z; Yang, TJ; Zhao, Y; Lin, Y; Song, ZY; Cheng, JJ</t>
  </si>
  <si>
    <t>Huang, Jing; Liu, Xingliang; Yuan, Zhen; Yang, Tianjian; Zhao, Yu; Lin, Yao; Song, Ziyuan; Cheng, Jianjun</t>
  </si>
  <si>
    <t>Facile and Controlled Synthesis of Poly(ethylene glycol)-Polypeptide in an Acidic, Biphasic System</t>
  </si>
  <si>
    <t>Poly(ethylene glycol) (PEG)-polypeptides are typically synthesized via the PEG-NH2-initiated ring-opening polymerization of N-carboxyanhydrides (NCAs), which may otherwise result in broad, uncontrolled, multimodal molecular weight distributions, omitting tedious monomer purification, an anhydrous setup, and the use of specially designed initiators and/or catalysts. The cooperative covalent polymerization in a biphasic system that we recently developed shows substantially improved simplicity but still relies on the use of PEG-helical polypeptide macroinitiators for the synthesis of the intended PEG-polypeptides. Herein, we report the preparation of PEG-polypeptides directly from a PEG-NH2 initiator in such a biphasic system by simply tuning its aqueous or organic phase to acidic pH and using the subsequently formed protonated (dormant)/nonprotonated (active) equilibrated chain-end group to modulate polypeptide chain propagation, yielding a variety of PEG-polypeptide materials with controlled molecular weights and diverse side-chain functionalities. Additionally, the biphasic segregation effect enables the in situ purification of NCAs, rendering controlled polymerization from crude monomers. As setting up a biphasic system and tuning its pH are very easy, PEG-NH2 is readily available, and the crude NCAs can be easily prepared by following standard protocols; this robust polymerization method should be simple enough for anyone who has basic synthetic skills to manage the controlled preparation of PEG-polypeptides.</t>
  </si>
  <si>
    <t>Song, Ziyuan/HDM-4995-2022</t>
  </si>
  <si>
    <t>SEP 23</t>
  </si>
  <si>
    <t>10.1021/acs.macromol.5c01761</t>
  </si>
  <si>
    <t>WOS:001567400900001</t>
  </si>
  <si>
    <t>Kaur, P; Nisula, M; Detavernier, C; Devi, A</t>
  </si>
  <si>
    <t>Kaur, Parmish; Nisula, Mikko; Detavernier, Christophe; Devi, Anjana</t>
  </si>
  <si>
    <t>New dithiooxamide derivatives as promising precursors for ALD/MLD applications</t>
  </si>
  <si>
    <t>DALTON TRANSACTIONS</t>
  </si>
  <si>
    <t>Hybrid materials synthesized combining atomic layer deposition and molecular layer deposition (ALD/MLD) results in advantageous material properties owing to the functionalities contributed from the inorganic and organic constituents in the film. The number of MLD precursors that are volatile and compatible with ALD precursors are limited. This study explores the synthesis and characterization of new dithiooxamide (DTOA) derivatives with varied side chain lengths for their application in ALD/MLD processes for the fabrication of Cu-R DTOA thin films. Utilizing bis(dimethylamino-2-propoxy)-copper(ii) (Cu(dmap)2) as the metal precursor, the impact of side chain modifications on the thermal stability and volatility of DTOA derivatives was investigated. Employing complementary analytical tools namely NMR, FTIR and TGA/DSC, the study unveils the structural and thermal properties of synthesized derivatives. From the proof-of-concept ALD/MLD experiments performed, the in situ spectroscopic ellipsometry monitored deposition process demonstrates a controlled linear thickness increase with deposition cycles, affirming the suitability of the DTOA derivatives as MLD precursors. This study delineates the influence of alkyl side chain variation on precursor properties, offering insights into the tailored design of precursors for advanced material deposition.</t>
  </si>
  <si>
    <t>1477-9226</t>
  </si>
  <si>
    <t>1477-9234</t>
  </si>
  <si>
    <t>OCT 7</t>
  </si>
  <si>
    <t>10.1039/d5dt01405k</t>
  </si>
  <si>
    <t>WOS:001574279700001</t>
  </si>
  <si>
    <t>Cavassin, P; Castillo, TCH; Marcial-Hernandez, R; Gilhooly-Finn, P; Réhault, J; Inal, S; Nielsen, CB; Banerji, N</t>
  </si>
  <si>
    <t>Cavassin, Priscila; Hidalgo Castillo, Tania Cecilia; Marcial-Hernandez, Raymundo; Gilhooly-Finn, Peter; Rehault, Julien; Inal, Sahika; Nielsen, Christian B.; Banerji, Natalie</t>
  </si>
  <si>
    <t>Why P3HT Outperforms More Polar Analogues in OECTs</t>
  </si>
  <si>
    <t>Materials that can conduct both ionic and electronic charges are known as mixed conductors. They are relevant for applications ranging from bioelectronics to neuromorphic circuits. A widely used strategy to enhance ion uptake and mixed ionic-electronic conduction in conjugated polymers is the incorporation of polar side chains. The increase in polarity, however, drastically affects film morphology and electronic transport, and their complex interplay is not yet fully understood. In this work, we investigate a series of poly(3-hexylthiophene) (P3HT) analogues with an increasing content of ethylene glycol side chains to evaluate their impact on mixed ionic-electronic transport. Despite the higher polarity, the more glycolated copolymers exhibit a significantly lower electrolyte uptake. They also show lower electronic charge carrier mobility, and their performance in organic electrochemical transistors is drastically reduced. These findings challenge the current design rules for polymeric mixed condutors, as they show that higher polarity and disorder do not necessarily favor ionic uptake and highlight the key role of polymer packing when considering new side chain designs.</t>
  </si>
  <si>
    <t>Nielsen, Christian/M-3259-2019; Banerji, Natalie/N-7142-2015; Inal, Sahika/AAU-4924-2020</t>
  </si>
  <si>
    <t>inal, Sahika/0000-0002-1166-1512;</t>
  </si>
  <si>
    <t>10.1021/acs.chemmater.5c00737</t>
  </si>
  <si>
    <t>WOS:001566340100001</t>
  </si>
  <si>
    <t>Kong, JY; Zhu, YF; Li, BW; He, D; Zhao, FW</t>
  </si>
  <si>
    <t>Kong, Jingyao; Zhu, Yufan; Li, Bowen; He, Dan; Zhao, Fuwen</t>
  </si>
  <si>
    <t>Investigation of the structure-performance correlation in Y-series electron acceptors with different phenyl alkyl inner side chains toward high-efficiency organic solar cells</t>
  </si>
  <si>
    <t>PHYSICAL CHEMISTRY CHEMICAL PHYSICS</t>
  </si>
  <si>
    <t>Y-Series non-fullerene acceptors (NFAs) make significant contributions to the booming efficiency of organic solar cells (OSCs). In particular, modifying inner side chains with phenyl groups affords an efficient and promising method to improve the efficiency and promote the large-area fabrication of OSCs. However, the relationship between the structure of the inner side chains and properties has rarely been investigated. In this work, three NFAs, Y6-PhC4, Y6-PhC6 and Y6-PhC8, are developed by introducing phenyl alkyl inner side chains with different lengths. It demonstrates that the length of the phenyl alkyl side chains has a negligible influence on the bandgap and energy levels of NFAs. However, the miscibility between NFAs and D18 declines along with the length of the phenyl alkyl inner side chains. Y6-PhC6 possesses the best crystallinity and D18:Y6-PhC6 blend films afford the finest topological morphology. Thus, the devices exhibit the tendency of first increasing and then decreasing in charge carrier dynamics, trap density and non-radiative recombination energy loss, which makes VOC, JSC and FF of OSCs show the same trend from D18:Y6-PhC4 and D18:Y6-PhC6 to D18:Y6-PhC8 pairs. Therefore, D18:Y6-PhC6 based devices achieve the highest power conversion efficiency (PCE) of 17.12%. Furthermore, D18:L8-BO:Y6-PhC6 based ternary OCSs are fabricated to afford an impressive PCE of 19.22%, benefiting from the superior properties of Y6-PhC6. This work manifests the importance of inner side chain engineering in regulating intrinsic properties and photovoltaic performance of Y-series NFAs.</t>
  </si>
  <si>
    <t>1463-9076</t>
  </si>
  <si>
    <t>1463-9084</t>
  </si>
  <si>
    <t>OCT 8</t>
  </si>
  <si>
    <t>10.1039/d5cp02606g</t>
  </si>
  <si>
    <t>WOS:001575564100001</t>
  </si>
  <si>
    <t>Zhang, JC; Lei, YT; Zhou, BJ; Zhao, NH; Du, MZ; Yang, L; Guo, Q; Sun, XN; Yao, J; Du, JM; Zhou, EJ</t>
  </si>
  <si>
    <t>Zhang, Jingchao; Lei, Yitong; Zhou, Bingjie; Zhao, Naihui; Du, Mengzhen; Yang, Lei; Guo, Qing; Sun, Xiangnan; Yao, Jia; Du, Jimin; Zhou, Erjun</t>
  </si>
  <si>
    <t>Side chain engineering of benzotriazole-based A-DA'D-A type nonfullerene acceptors to pair with benzotriazole-based polymer for high performance organic solar cells</t>
  </si>
  <si>
    <t>Benzotriazole (BTA) is a well-studied electron-accepting (A) unit, which has been widely utilized to construct both p-type polymers and nonfullerene acceptors (NFAs). However, the photovoltaic performance of organic solar cells (OSCs) based on BTA-containing materials lagged behind due to the lack of effective molecular engineering to finetune their optoelectronic properties. In this study, we modified the A-DA'D-A type NFA BTA75 by strategically incorporating of trifluoroethyl and vinyl groups into the side chain of BTA unit, yielding the molecules BTA75-3F and BTA75-V respectively. We systematically investigate the impacts on photoelectronic properties, molecular stacking behavior and the photovoltaic performance. When paired with a BTA-based donor polymer PE4, both BTA75-3F and BTA75-V devices exhibited decreased energy loss, enhanced exciton dissociation dynamics, improved charge carrier mobilities, prolonged charge lifetime and suppressed bimolecular recombination in comparison with BTA75. Finally, PE4: BTA75-3F and PE4: BTA75-V combinations realized power conversion efficiencies (PCEs) of 16.08 % and 17.11 %, respectively, which are significantly higher than the BTA75 reference device (PCE = 15.67 %). This work establishes a clear structure-performance relationship governed by N-side chain engineering of BTA, providing valuable insights for molecular design strategies toward high-efficiency A-DA'D-A type NFAs.</t>
  </si>
  <si>
    <t>10.1016/j.cej.2025.167310</t>
  </si>
  <si>
    <t>WOS:001568854800029</t>
  </si>
  <si>
    <t>Luo, WL; Wang, TT; Xia, SS; Xu, J; Zhao, XH; Wang, L; Hu, Y; Yuan, ZY</t>
  </si>
  <si>
    <t>Luo, Wenli; Wang, Tingting; Xia, Shuangshuang; Xu, Jie; Zhao, Xiaohong; Wang, Lei; Hu, Yu; Yuan, Zhongyi</t>
  </si>
  <si>
    <t>Precise regulation of phase separation by different miscibility of the third component with donor and acceptor toward high-performance organic solar cells</t>
  </si>
  <si>
    <t>SCIENCE CHINA-CHEMISTRY</t>
  </si>
  <si>
    <t>Optimizing the active layer morphology by introducing a third component is an effective strategy to enhance the performance of organic solar cells (OSCs). Using dithieno[3,2-a:2 '',3 ''-c]phenazine as the core, a nonfused-ring small molecule (PTBT-SC10) with a large difference in miscibility with the donor and acceptor was obtained by side chain engineering and alteration of the pi-bridge. PTBT-SC10 forms a good complementary absorption with the host donor and acceptor, and it has a cascade energy level arrangement with energy levels of the host materials. Grazing incidence wide angle X-ray scattering (GIWAXS) and atomic force microscopy (AFM) measurements showed that the addition of only 5% mass fraction of PTBT-SC10 resulted in an optimized vertical phase separation morphology for the binary blend. As a result, the optimized PM6:BTP-eC9:PTBT-SC10 ternary OSCs obtained a power conversion efficiency (PCE) of 19.1%, while the PCE based on the PM6:BTP-eC9 binary OSCs was only 17.7%. This study shows that the vertical phase separation structure of the binary active layer can be precisely tuned by adding only a small amount of the third component when the miscibility of the third component differs significantly from that of the host material. This provides a new strategy to minimize the generation of defect states in the ternary active layer and improve the photovoltaic performance of the device.</t>
  </si>
  <si>
    <t>Zhao, Xiaohong/GZH-3148-2022</t>
  </si>
  <si>
    <t>1674-7291</t>
  </si>
  <si>
    <t>1869-1870</t>
  </si>
  <si>
    <t>2025 SEP 4</t>
  </si>
  <si>
    <t>10.1007/s11426-025-2782-y</t>
  </si>
  <si>
    <t>WOS:001566236000001</t>
  </si>
  <si>
    <t>Han, YS; Jin, YC; Ding, X; Ma, XL; Wang, TY; Pan, HH; Qi, DD; Jiang, JZ</t>
  </si>
  <si>
    <t>Han, Yuesheng; Jin, Yucheng; Ding, Xu; Ma, Xiaolin; Wang, Tianyu; Pan, Houhe; Qi, Dongdong; Jiang, Jianzhuang</t>
  </si>
  <si>
    <t>Three-Component COFs with D-π-A Units and Side-Chain-Enhanced Mass Transfer Enable Efficient Sacrificial-Agent-Free H2O2 Photosynthesis</t>
  </si>
  <si>
    <t>ADVANCED ENERGY MATERIALS</t>
  </si>
  <si>
    <t>Photocatalytic oxygen reduction reactions (ORR) and water oxidation reactions (WOR) based on covalent organic frameworks (COFs) represent the most promising green approach for producing H2O2. However, the enhancement of COFs' photocatalytic efficiency is hindered by the challenge of optimally organizing both donor-acceptor (D-A) units and functional ligands. Herein, three-component COFs with D-pi-A units and side chains are designed for achieving higher charge separation efficiency and mass transfer enhancement during photocatalysis. Precisely assembled donor (triphenylamine (TN)) and acceptor (triazine (TA)) in COFs form D-pi-A units, in which WOR on TN units can carry out cooperatively with ORR on TA units. The thioether chains within COFs render the formation of gas/liquid/solid three-phase interfaces, which accelerate the oxygen diffusion for ORR. Thus, three-component COFs (TBT-COF) with thioether chains (R2S) can reach 7427.25 mu mol g-1 h-1 for photocatalytic hydrogen peroxide generation without any sacrificing reagents. The synergy of D-pi-A units and mass transfer enhanced by side chains plays very important role in achieving efficient photocatalysis via cooperative ORR/WOR pathways. These results open new possibilities for the fabrication of high-performance COFs-based photocatalyst.</t>
  </si>
  <si>
    <t>WANG, Tianyu/ABY-5043-2022; Qi, Dongdong/AAK-9830-2020</t>
  </si>
  <si>
    <t>1614-6832</t>
  </si>
  <si>
    <t>1614-6840</t>
  </si>
  <si>
    <t>2025 SEP 3</t>
  </si>
  <si>
    <t>e03108</t>
  </si>
  <si>
    <t>10.1002/aenm.202503108</t>
  </si>
  <si>
    <t>WOS:001562326900001</t>
  </si>
  <si>
    <t>Kim, DH; Yoo, JS; Lee, J; Lee, KC</t>
  </si>
  <si>
    <t>Kim, Dae Hong; Yoo, Jin Soo; Lee, Junghoon; Lee, Kyu Cheol</t>
  </si>
  <si>
    <t>Effect of Side-Chain Substitution on the Physical and Optical Characteristics of TDPP-T Copolymers for Organic Semiconductors</t>
  </si>
  <si>
    <t>POLYMER-KOREA</t>
  </si>
  <si>
    <t>This study aimed to investigate the physical and chemical properties resulting from the introduction of siloxane or methoxy group substituents in four copolymers, which were synthesized using thiophene(T) or methoxy thiophene and thienyl diketopyrrolopyrrole. Polymers containing siloxane group showed a wider absorption range and higher thermal stability than polymers with hydrocarbons. These results can open a possibility to be used as materials for high stable organic semiconductors.</t>
  </si>
  <si>
    <t>0379-153X</t>
  </si>
  <si>
    <t>2234-8077</t>
  </si>
  <si>
    <t>SEP</t>
  </si>
  <si>
    <t>10.7317/pk.2025.49.5.634</t>
  </si>
  <si>
    <t>WOS:001578696000013</t>
  </si>
  <si>
    <t>Knight, LR; Tritt, MM; Tran, QD; Zhang, HH; Zhu, L; Sauve, G</t>
  </si>
  <si>
    <t>Knight, Lexi R.; Tritt, Maia M.; Tran, Quynh D.; Zhang, Honghu; Zhu, Lei; Sauve, Genevieve</t>
  </si>
  <si>
    <t>Green solvent-processable poly(3-hexylthiophene) derivative maintains high hole mobility in diodes</t>
  </si>
  <si>
    <t>SYNTHETIC METALS</t>
  </si>
  <si>
    <t>The development of environmentally sustainable fabrication methods for organic solar cells (OSCs) is critical to enable their large-scale adoption. Conventional solution-processed OSCs often rely on halogenated, toxic solvents that pose health and environmental risks, limiting their scalability. This is because pi-conjugated polymers tend to have a low solubility in non-halogenated solvents. A common strategy to enhance solubility in alternative solvents is through the incorporation of polar solubilizing groups, often on every repeat unit of at least one monomer. However, too many polar side chains tend to disrupt favorable morphology and decrease charge transport properties. In this study, we demonstrate that a minimal degree of side chain functionalization can improve green solvent processability while preserving electrical performance. We tested this hypothesis using our previously reported random copolymer derivative of poly(3-hexylthiophene) (P3HT) where similar to 10 mol% of the side chains are 6-pentanoatehexyl side chains. We find that this low-level functionalization significantly broadens the solvents that can be used to process P3HT to less toxic solvents such as o-xylene and anisole. Furthermore, the copolymer processed from greener solvents showed high hole mobilities (similar to 10(-)(3) cm(2)/Vs by the Space-Charge Limiting Current method in diodes), comparable to P3HT films cast from toxic chloroform. These findings suggest that minimal side-chain modification is a viable strategy for expanding green solvent compatibility while preserving electrical performance, paving the way toward more sustainable organic semiconductor designs.</t>
  </si>
  <si>
    <t>Zhang, Honghu/ADK-8266-2022</t>
  </si>
  <si>
    <t>0379-6779</t>
  </si>
  <si>
    <t>10.1016/j.synthmet.2025.117940</t>
  </si>
  <si>
    <t>WOS:001576423100003</t>
  </si>
  <si>
    <t>Lanez, T; Lanez, E; Henni, M</t>
  </si>
  <si>
    <t>Lanez, Touhami; Lanez, Elhafnaoui; Henni, Meriem</t>
  </si>
  <si>
    <t>Synthesis, crystal structure, Hirshfeld surface analysis, DFT studies and DNA binding interactions of N-ferrocenylmethyl-N-(3-cyanophenyl) acetamide</t>
  </si>
  <si>
    <t>JOURNAL OF ORGANOMETALLIC CHEMISTRY</t>
  </si>
  <si>
    <t>This work reports the synthesis, structural characterization, and biomolecular interaction of a new ferrocenebased molecule, N-ferrocenylmethyl-N-(3-cyanophenyl)acetamide (FcCN). The compound was secured through multi-step synthesis and structurally determined by SC-XRD to confirm a very robust sandwich-type ferrocene core with negligible distortion from the acetamide side chain. Electron Localization Function (ELF) and Localized Orbital Locator (LOL) analyses confirmed localized bonding in the organic backbone and delocalized electron density in the ferrocenyl group. Hirshfeld surface analysis showed that the crystal packing is stabilized mostly by H &amp; ctdot;H (53.0 %) and C &amp; ctdot;H/H &amp; ctdot;C (22.1 %) interactions, with significant contributions from N center dot center dot center dot H and O center dot center dot center dot H hydrogen bonds. Electrochemical measurements indicated a drastic negative shift in redox potential and reduction in peak current upon DNA binding, typical of the formation of a slowly diffusing FcCN-DNA adduct. DFT calculations corroborated the experimental data, with a HOMO-LUMO gap of 3.523 eV indicative of favourable stability and reactivity. Molecular docking predicted high DNA binding affinity (-6.9 kcal/mol) through groove interaction, and molecular dynamics simulation attested to the stability of the complex. These data highlight the prospects of FcCN as a redox-active, DNA-targeting entity and add to the increasing interest in ferrocene derivatives as therapeutic agents.</t>
  </si>
  <si>
    <t>Lanez, Touhami/E-6410-2016; Elhafnaoui, LANEZ/AFR-3905-2022</t>
  </si>
  <si>
    <t>Lanez, Touhami/0000-0002-3978-7635;</t>
  </si>
  <si>
    <t>0022-328X</t>
  </si>
  <si>
    <t>1872-8561</t>
  </si>
  <si>
    <t>SEP 1</t>
  </si>
  <si>
    <t>10.1016/j.jorganchem.2025.123772</t>
  </si>
  <si>
    <t>WOS:001533585900001</t>
  </si>
  <si>
    <t>Ramakrishna, I; Boateng, A; Hattori, T; Yamamoto, H</t>
  </si>
  <si>
    <t>Ramakrishna, Isai; Boateng, Alex; Hattori, Tomohiro; Yamamoto, Hisashi</t>
  </si>
  <si>
    <t>Tris(2,2,2-trifluoroethoxy)silane-Enabled Peptide Bond Formation between Unprotected Amino Acids and Amino Acid t-Butyl Esters</t>
  </si>
  <si>
    <t>CHEMICAL &amp; PHARMACEUTICAL BULLETIN</t>
  </si>
  <si>
    <t>Conventional peptide synthesis involves multiple protection and deprotection steps, and typically relies on stoichiometric amounts of coupling reagents and additives. This makes the process cumbersome, and results in poor atom economy and hazardous waste generation. Therefore, direct peptide bond formation using unprotected amino acids is a promising alternative. However, this approach presents some challenges: 1) Solubility of unprotected amino acids in organic solvents; 2) Control of undesired side reactions; 3) Chemo-selective activation of the carboxylic acid group in the presence of an amine functionality; and 4) Epimerization. To address these challenges, we developed tris(2,2,2-trifluoroethoxy)silane [H-Si(OCH2CF3)3], a cost-effective and accessible coupling reagent. This single reagent efficiently synthesizes N-terminal free peptides from unprotected amino acids and amino acid tert-butyl esters, without the need for any additives. H-Si(OCH2CF3)3 enhances amino acid solubility through coordinating with both termini and plays a dual role, serving as a transient amine-protecting group and as a carboxylic acid activating or promoting reagent for peptide bond formation. This method is operationally simple and versatile, enabling the efficient synthesis of N-terminal free peptides from unprotected amino acids and amino acid tert-butyl esters, with good yields, high optical purity, and broad side-chain compatibility.</t>
  </si>
  <si>
    <t>Hattori, Tomohiro/MIU-4679-2025; Boateng, Alex/MBV-4195-2025</t>
  </si>
  <si>
    <t>0009-2363</t>
  </si>
  <si>
    <t>10.1248/cpb.c25-00457</t>
  </si>
  <si>
    <t>WOS:001564117100001</t>
  </si>
  <si>
    <t>Zhou, JM; Zheng, YZ; Tang, S; Yang, YH; Li, ZH; Wu, SG; Gong, JB</t>
  </si>
  <si>
    <t>Zhou, Jianmin; Zheng, Yingzi; Tang, Shi; Yang, Yuhan; Li, Zhonghua; Wu, Songgu; Gong, Junbo</t>
  </si>
  <si>
    <t>Side-Chain Engineering for Modulating Fluorescence and Mechanical Properties of Single Crystals</t>
  </si>
  <si>
    <t>CRYSTAL GROWTH &amp; DESIGN</t>
  </si>
  <si>
    <t>Molecular engineering of organic single crystals via minimal structural modification remains a key challenge in the development of multifunctional crystalline materials. A side-chain engineering strategy is reported for simultaneously regulating optical emission and mechanical adaptability in acetophenone derivatives: 2 '-hydroxy-5 '-methylacetophenone (HMAP) and 2 '-hydroxy-5 '-methoxyacetophenone (HMOAP). This approach enables unprecedented molecular-level control, facilitating concurrent modulation of optical emission with a notable shift (Delta lambda = 47 nm) through single substituent variation. Specifically, the fluorescence exhibits a notable blue shift from 552 nm (yellow, HMAP) to 505 nm (green, HMOAP). Distinct mechanical properties have been achieved, and HMAP single crystals exhibited two-dimensional plastic deformation when subjected to external force, whereas the elongated plate-like single crystals of HMOAP demonstrated two-dimensional elastic deformation under mechanical force, with elastic strains reaching up to 4.9% and 14.3%, respectively. Beyond their elastic limits, they experience permanent plastic deformation. Our findings establish a viable strategy for expanding the organic flexible single crystal system, enabling easy modulation of the single crystal properties.</t>
  </si>
  <si>
    <t>Gong, Junbo/J-7798-2012</t>
  </si>
  <si>
    <t>1528-7483</t>
  </si>
  <si>
    <t>1528-7505</t>
  </si>
  <si>
    <t>SEP 17</t>
  </si>
  <si>
    <t>10.1021/acs.cgd.5c00548</t>
  </si>
  <si>
    <t>WOS:001563018900001</t>
  </si>
  <si>
    <t>Laux, L; Thiele, CM</t>
  </si>
  <si>
    <t>Laux, Lukas; Thiele, Christina M.</t>
  </si>
  <si>
    <t>Sweet side chain: a glycopeptide-based alignment medium to measure residual dipolar couplings in neat acetonitrile</t>
  </si>
  <si>
    <t>JOURNAL OF MATERIALS CHEMISTRY C</t>
  </si>
  <si>
    <t>Homopolyglutamates are well-known liquid crystalline polymers (LCPs) with a semi-flexible main chain. The polymeric backbone forms an alpha-helical secondary structure stabilized through intramolecular hydrogen bonds, making these rigid-rod-type polymers macroscopic mesogens. One important application of these homopolyglutamates is their use as lyotropic liquid crystalline (LLC) alignment media, which allows the determination of highly important anisotropic NMR observables like residual dipolar couplings (RDCs) for the structure elucidation of organic compounds. Herein, we report a novel polyglutamate bearing a per-acetylated glucose side chain, introduced by a postpolymerization modification approach via click-chemistry. The modified polymer exhibits unique properties concerning solvent compatibility, including the formation of stable LLC-phases in neat acetonitrile, which is a first of its kind for LLC-based alignment media.</t>
  </si>
  <si>
    <t>Thiele, Christina/Y-2299-2019</t>
  </si>
  <si>
    <t>2050-7526</t>
  </si>
  <si>
    <t>2050-7534</t>
  </si>
  <si>
    <t>OCT 2</t>
  </si>
  <si>
    <t>10.1039/d5tc02303c</t>
  </si>
  <si>
    <t>AUG 2025</t>
  </si>
  <si>
    <t>WOS:001562900000001</t>
  </si>
  <si>
    <t>Zhang, D; Wang, Z; Liu, JF; He, JY; Zhou, RZ; Wang, ZY; Li, R; Yang, L; Gao, X; Liu, ZT; Shao, M</t>
  </si>
  <si>
    <t>Zhang, Di; Wang, Zhi; Liu, Junfeng; He, Jiayi; Zhou, Ruize; Wang, Zhenye; Li, Rui; Yang, Lvpeng; Gao, Xiang; Liu, Zhitian; Shao, Ming</t>
  </si>
  <si>
    <t>Twisted Terpolymer Donor Enabling High-Performance Intrinsically Stretchable Organic Solar Cells</t>
  </si>
  <si>
    <t>Intrinsically stretchable organic solar cells (is-OSCs) hold great potential for next-generation wearable power generators. Currently, high-efficiency polymeric donor materials are based on rigid planar conjugated backbones, which limits their mechanical robustness and creates a trade-off between photovoltaic performance and stretchability. To simultaneously improve the power conversion efficiency (PCE) and mechanical robustness of is-OSCs, we develop a series of ductile PM-BOX% terpolymers by incorporating different amounts (X = 5, 10, and 20) of 3-butyloctyl-thiophene (ThBO) units into PM6 backbone. The BO alkyl side chains appended on Th-BO units induce a more significant twist in the backbone compared to PM6, which increases the disordered contents and facilitates the stress dissipation, hence enhancing the mechanical stretchability. While the conjugated thiophene unit preserves the pi-electron delocalization, maintaining efficient charge transport. As a result, the PM-BO10%:BTP-eC9-based devices outperform the PM6-based ones, achieving a higher PCE of 18.3% and a superior crack-onset strain of 23.8%. Additionally, PM-BO10%:BTP-eC9-based is-OSCs reach a PCE of 14.2% with an excellent PCE retention (80% of its initial PCE at 31.0% strain), marking one of the highest values for is-OSCs. This twisted terpolymer design strategy paves a novel way for designing efficient polymer donors with excellent stretchability for the application in is-OSCs.</t>
  </si>
  <si>
    <t>Zhou, Ruize/OGP-4591-2025; He, Jiayi/IUN-1246-2023; wang, zhenye/MGV-4166-2025</t>
  </si>
  <si>
    <t>2025 AUG 29</t>
  </si>
  <si>
    <t>e202509160</t>
  </si>
  <si>
    <t>10.1002/anie.202509160</t>
  </si>
  <si>
    <t>WOS:001560383200001</t>
  </si>
  <si>
    <t>Jeong, S; Sun, Z; Cho, Y; Yang, S; Mai, TLH; Yang, C</t>
  </si>
  <si>
    <t>Jeong, Seonghun; Sun, Zhe; Cho, Yongjoon; Yang, Sangjin; Mai, Thi Le Huyen; Yang, Changduk</t>
  </si>
  <si>
    <t>3D Conjugated Nonflat Biphenyl Side Chains: Their Exclusive Role in Inducing Negative Electrostatic Potential in Efficient Organic Solar Cells</t>
  </si>
  <si>
    <t>In nonfullerene acceptor (NFA) (so-called Y-series)-based organic solar cells (OSCs), reducing energy loss, particularly nonradiative energy loss, is critical for achieving high power conversion efficiency (PCE). However, at present, molecular design strategies for controlling and/or optimizing energy loss involve multiple complexities. Therefore, this study demonstrates that the introduction of simple, 3D conjugated nonflat biphenyl side chains into a Y-series NFA (yielding BPY) can improve high dipole moments-induced intermolecular interactions and negatively charged surface electrostatic potential driven by partially isolated negative charges. When BPY is blended with a PM6 donor, the resulting BPY-based OSC exceeds that of the control Y6-based OSC. This result is attributed to the minimized nonradiative energy loss via weakened pi-pi stacking and efficient charge dynamics. The addition of BPY to PM6:BTP-eC9 blends yields ternary OSCs that exhibit a high PCE of 19.23% owing to significant improvements in both the open-circuit voltage and fill factor. These findings not only highlight the influence of biphenyl side chains on the molecular properties of NFAs but also provide an effective material avenue to optimize nonradiative energy loss for high-performance OSCs.</t>
  </si>
  <si>
    <t>Cho, Yongjoon/JQV-4650-2023</t>
  </si>
  <si>
    <t>2025 AUG 28</t>
  </si>
  <si>
    <t>e09667</t>
  </si>
  <si>
    <t>10.1002/smll.202509667</t>
  </si>
  <si>
    <t>WOS:001559864800001</t>
  </si>
  <si>
    <t>Li, TZ; Zhang, ZY; Dai, XL; Zhu, SB; Xiong, WZ; Li, YL; Cui, YJ; Hu, HW</t>
  </si>
  <si>
    <t>Li, Tongzi; Zhang, Ziyue; Dai, Xuelong; Zhu, Shenbo; Xiong, Wenzhao; Li, Yanlin; Cui, Yongjie; Hu, Huawei</t>
  </si>
  <si>
    <t>Regulating Donor Aggregation via Alkyl Side-Chain Engineering for Green-Solvent Processed Organic Solar Cells</t>
  </si>
  <si>
    <t>ACS APPLIED MATERIALS &amp; INTERFACES</t>
  </si>
  <si>
    <t>Scalable fabrication of organic solar cells (OSCs) demands the replacement of toxic halogenated solvents with environmentally benign alternatives. However, processing with nonhalogenated solvents often leads to uncontrolled donor aggregation and suboptimal morphology, severely limiting device performance. Here, we report a molecular design strategy that enables efficient morphology control under green processing conditions through rational side-chain engineering. By introducing long even-numbered alkyl chains via random copolymerization of D18-Cl with DTBT-HD units, we synthesized a series of terpolymers (D18-Cl-xHD) with finely tuned solubility and aggregation behavior. The optimized terpolymer, D18-Cl-10HD, achieves a power conversion efficiency of 18.1% when processed from o-xylene, representing a &gt;60% improvement over the D18-Cl benchmark. Morphological characterization reveals that D18-Cl-10HD forms a well-ordered bicontinuous network with enhanced molecular packing and domain purity, facilitating efficient exciton dissociation and charge transport. This study not only offers a broadly applicable strategy for green-solvent-compatible material design but also establishes a deeper mechanistic understanding of side-chain-regulated phase behavior, bridging the gap between high efficiency and sustainable OSC manufacturing.</t>
  </si>
  <si>
    <t>1944-8244</t>
  </si>
  <si>
    <t>1944-8252</t>
  </si>
  <si>
    <t>SEP 10</t>
  </si>
  <si>
    <t>10.1021/acsami.5c12954</t>
  </si>
  <si>
    <t>WOS:001560899000001</t>
  </si>
  <si>
    <t>Cieplucha, M; Janeta, M; Szafert, S</t>
  </si>
  <si>
    <t>Cieplucha, Marta; Janeta, Mateusz; Szafert, Slawomir</t>
  </si>
  <si>
    <t>Hybrid inorganic-organic polyhedral oligomeric silsesquioxane-based poly(1-haloacetylene)s: thermal, solid-state polymerization</t>
  </si>
  <si>
    <t>MATERIALS CHEMISTRY FRONTIERS</t>
  </si>
  <si>
    <t>We present the synthesis and comprehensive characterization of a new class of hybrid inorganic-organic materials: polyhedral oligomeric silsesquioxane (POSS) cages functionalized with 1-haloacetylene groups (Cl, Br, I). These building blocks undergo a unique, catalyst-free, solid-state thermal polymerization. This process results in highly cross-linked poly(1-haloacetylene) networks. The resulting polymers-polyPOSS-C2Cl, polyPOSS-C2Br, and polyPOSS-C2I-exhibit direct optical band gaps of 2.79, 2.74, and 2.38 eV, respectively, and maintain the structural integrity of the POSS core, as confirmed by solid-state NMR (13C, 15N, and 29Si), DRIFT, Raman, and PXRD analyses. Kinetic studies indicate pseudo-second-order polymerization with activation energies between 179 and 217 kJ mol-1. These materials are completely insoluble in common solvents and thermally stable up to 309 degrees C. Their robust structure, high thermal resistance, and semiconducting properties highlight their potential for advanced optoelectronic applications.</t>
  </si>
  <si>
    <t>Janeta, Mateusz/NAZ-2815-2025</t>
  </si>
  <si>
    <t>2052-1537</t>
  </si>
  <si>
    <t>10.1039/d5qm00583c</t>
  </si>
  <si>
    <t>WOS:001562830700001</t>
  </si>
  <si>
    <t>Liu, W; Nai, Y; Ji, YT; Gao, Y; Min, J; He, SQ; Huang, WC; Guo, XY; Yuan, J; Zou, YP</t>
  </si>
  <si>
    <t>Liu, Wei; Nai, Yijie; Ji, Yitong; Gao, Yuan; Min, Jie; He, Siqing; Huang, Wenchao; Guo, Xueyi; Yuan, Jun; Zou, Yingping</t>
  </si>
  <si>
    <t>Fluoroalkyl-based near-infrared acceptors for morphology control enabling high-efficiency additive-free organic solar cells</t>
  </si>
  <si>
    <t>CHEMICAL COMMUNICATIONS</t>
  </si>
  <si>
    <t>Herein, a fluoroalkyl side chain modified A-DA ' D-A small molecule acceptor, Y18-F9, was developed to optimize the bulk heterojunction morphology in organic solar cells. The introduction of fluorocarbon chains promotes self-assembly into nanoscale fibrous networks, while the low surface energy drive favorable vertical phase segregation. These synergistic effects lead to enhanced molecular packing, improved charge transport and collection, and reduced recombination losses. Consequently, the additive-free D18:L8-BO:Y18-F9 ternary OSCs achieves an impressive power conversion efficiency of 19.31% with a simultaneously enhanced short-circuit current density of 27.27 mA cm-2 and fill factor of 79.7%.</t>
  </si>
  <si>
    <t>Min, Jie/D-2716-2018; He, Siqing/JCN-6504-2023; yang, ying/E-3076-2018; zou, yingping/D-6077-2014</t>
  </si>
  <si>
    <t>1359-7345</t>
  </si>
  <si>
    <t>1364-548X</t>
  </si>
  <si>
    <t>SEP 25</t>
  </si>
  <si>
    <t>10.1039/d5cc04548g</t>
  </si>
  <si>
    <t>WOS:001564334500001</t>
  </si>
  <si>
    <t>Kim, AR; Poudel, MB; Yoo, DJ</t>
  </si>
  <si>
    <t>Kim, Ae Rhan; Poudel, Milan Babu; Yoo, Dong Jin</t>
  </si>
  <si>
    <t>Metal organic framework-derived, N-C-SO3H/COOH-incorporated , phenolphthalein-based propyl sulfonated poly(arylene ether) composite membranes for proton exchange membranes in fuel cells</t>
  </si>
  <si>
    <t>The proton exchange membrane (PEM) is a critical component of fuel cells, but balancing mechanical stability while maintaining high proton conductivity remains a challenge. Organizing functional groups to improve interactions has become a popular pursuit in recent years. Capitalizing on these advances, we prepared phenolphthalein-based propyl sulfonated poly(arylene ether) containing a sulfonated aliphatic side-chain (SPAEPP) polymer and incorporated metal organic framework-derived SO3H- and -COOH-functionalized nitrogen-doped porous carbon (N-C-SO3H/COOH). SPAEPP, along with composite membrane containing N-C-SO3H/COOH at various weight percentages demonstrated improved mechanical and electrochemical activities. Continuous hydrophilic-hydrophobic polymer networks typically expedite the proton transformation of the composite's PEM, allowing proton conductivity to reach 145 mS cm- 1 at 90 degrees C and a relative humidity of 100 %, which is twice that of pristine SPAEPP. The SPAEPP/N-C-SO3H/COOH composite membrane achieved a power density of 0.57 W cm- 2, outperforming SPAEPP and commercial Nafion 212. The optimized SPAEPP/ N-C-SO3H/COOH membrane demonstrated long-term durability with minimal loss of power over 120 h of continuous operation and no degradation of catalyst-membrane morphology. The efficient proton-conduction ability and admirable power performance of the SPAEPP/N-C-SO3H/COOH membrane suggests a potential use for metal organic framework derivatives and phenolphthalein-based polymers as efficient PEMs in fuel cells as part of a sustainable energy portfolio.</t>
  </si>
  <si>
    <t>10.1016/j.memsci.2025.124555</t>
  </si>
  <si>
    <t>WOS:001561981800001</t>
  </si>
  <si>
    <t>Wang, HL; Dai, XJ; Liao, CT; Xu, XP; Peng, Q</t>
  </si>
  <si>
    <t>Wang, Hongli; Dai, Xingjian; Liao, Chentong; Xu, Xiaopeng; Peng, Qiang</t>
  </si>
  <si>
    <t>Fine-tuning non-fullerene acceptors with halogenation and silicon incorporation for high-performance organic solar cells</t>
  </si>
  <si>
    <t>Three novel Y-series NFAs (HSi, FSi, ClSi) with 2D side chain modifications were synthesized to study effects on photovoltaic performance. Halogenation altered molecular packing and energy levels, impacting efficiency. HSi exhibits balanced crystallinity and stacking, resulting in a reduction of non-radiative energy loss to 0.172 eV, a maximum VOC of 0.940 V, and a PCE of 19.56%.</t>
  </si>
  <si>
    <t>Xu, Xiaopeng/AAM-9836-2020</t>
  </si>
  <si>
    <t>10.1039/d5cc03932k</t>
  </si>
  <si>
    <t>WOS:001562250600001</t>
  </si>
  <si>
    <t>Alonso-Navarro, MJ; Suárez-Blas, F; Martínez, JI; Ramos, MM; Segura, JL</t>
  </si>
  <si>
    <t>Alonso-Navarro, Matias J.; Suarez-Blas, Fatima; Martinez, Jose Ignacio; Ramos, M. Mar; Segura, Jose L.</t>
  </si>
  <si>
    <t>Giant Fully Fused Tetrapodal Rylenimides: Design, Synthesis and Optoelectrochemical Characterization via Alkyl Chain and Core Engineering Strategies</t>
  </si>
  <si>
    <t>ORGANIC LETTERS</t>
  </si>
  <si>
    <t>In this work, we report the synthesis and comprehensive characterization of a new series of fully fused three-dimensional rylenimide-based derivatives featuring extended pi-conjugation through core-fusion strategies and tailored side-chain engineering at the imide nitrogen, resulting in molecular architectures with up to 19 fused rings. The effects of pi-extension and alkyl/aryl imide substituents on the optical and electrochemical behavior were systematically studied using UV-vis spectroscopy, cyclic voltammetry, and density functional theory calculations. The results demonstrate that combining pi-extension with bulky solubilizing groups effectively suppresses undesired pi-pi interactions, enhances electronic delocalization, and improves device-relevant properties. This molecular design strategy offers a promising platform for the development of next-generation functional n-type organic semiconductors.</t>
  </si>
  <si>
    <t>Segura, José/E-9192-2016; Alonso-Navarro, Matías J./HLV-8545-2023</t>
  </si>
  <si>
    <t>1523-7060</t>
  </si>
  <si>
    <t>1523-7052</t>
  </si>
  <si>
    <t>SEP 5</t>
  </si>
  <si>
    <t>10.1021/acs.orglett.5c02655</t>
  </si>
  <si>
    <t>WOS:001555732600001</t>
  </si>
  <si>
    <t>Röck, E; Tsokkou, D; Hunger, B; Horn, MM; Zokaei, S; Kroon, R; Asatryan, J; Martin, J; Müller, C; Kemerink, M; Banerji, N</t>
  </si>
  <si>
    <t>Rock, Eva; Tsokkou, Demetra; Hunger, Basil; Horn, Maximilian M.; Zokaei, Sepideh; Kroon, Renee; Asatryan, Jesika; Martin, Jaime; Mueller, Christian; Kemerink, Martijn; Banerji, Natalie</t>
  </si>
  <si>
    <t>Distance-resilient conductivity in p-doped polythiophenes</t>
  </si>
  <si>
    <t>MATERIALS HORIZONS</t>
  </si>
  <si>
    <t>Scalable organic electronic devices necessitate effective charge transport over long distances. We assess here the conductivity and its distance-resilience in doped polythiophene films with alkyl and oligoether side chains. We find that the polymers with oligoether side chains retain 80-90% of the conductivity over five orders of magnitude in distance (from tens of nanometers to millimeters), when doped with 2,3,5,6-tetrafluoro-tetracyanoquinodimethane (F(4)TCNQ). For P(g(4)2T-T) co-processed with F(4)TCNQ, this leads to an over 100 times enhanced long-range conductivity (43 S cm(-1)) compared to doped poly(3-hexylthiophene) (P3HT, 0.2 S cm(-1)). Optimization of the oligoether side chain length and doping protocol pushes the conductivity to 330 S cm(-1). Kinetic Monte Carlo simulations of nanoscale terahertz conductivity data reveal that the local mobility of the doped P(g(4)2T-T):F(4)TCNQ film benefits from a higher dielectric constant (reduced Coulomb binding to the ionized dopant) and from lower energetic disorder. Those benefits persist on the macroscopic scale, while spatial charge confinement and a lack of connectivity hinder the long-range transport of moderately doped P3HT:F(4)TCNQ. However, strongly doping P3HT using magic blue leads to enhanced conductivity with distance-resilience &gt;80%. The distance-resilience is generalized for different polymer:dopant systems once a highly conductive regime (&gt;30 S cm(-1)) is reached. This highlights an effective strategy to overcome limitations in terms of electrostatic binding and multi-scale polymer ordering, enhancing both the short-range and the long-range conductivity of doped conjugated polymers.</t>
  </si>
  <si>
    <t>Kroon, Renee/AAZ-1218-2020; Banerji, Natalie/N-7142-2015; Roeck, Eva/OCK-5118-2025</t>
  </si>
  <si>
    <t>2051-6347</t>
  </si>
  <si>
    <t>2051-6355</t>
  </si>
  <si>
    <t>2025 AUG 25</t>
  </si>
  <si>
    <t>10.1039/d5mh00620a</t>
  </si>
  <si>
    <t>WOS:001573058900001</t>
  </si>
  <si>
    <t>Kwon, SJ; Giridharagopal, R; Olanrewaju, Y; Neu, J; You, W; So, FY; Ginger, DS</t>
  </si>
  <si>
    <t>Kwon, Sung-Joo; Giridharagopal, Rajiv; Olanrewaju, Yusuf; Neu, Justin; You, Wei; So, Franky; Ginger, David S.</t>
  </si>
  <si>
    <t>Quantifying the Localization of Charges Generated upon Molecular Doping of Conjugated Polymers</t>
  </si>
  <si>
    <t>Quantifying whether the charges created by molecular doping of organic semiconductors reside in localized versus mobile states is important to understanding doping mechanisms of organic semiconductors. Nevertheless, such quantification remains challenging, as it typically requires Hall effect measurements or specialized equipment. Here, we quantify the mobile and localized charge concentrations in molecularly doped conjugated polymers using spectroelectrochemical calibration, which we cross-validate by applying X-ray photoemission spectroscopy and Hall effect measurements and by fitting to established transport models. As a test case, we study doping with 2,3,5,6-tetrafluoro7,7,8,8-tetracyanoquinodimethane (F4TCNQ) in two different polymers: poly[2,5-bis(3-tetradecylthiophen-2-yl)thieno[3,2-b]thiophene] (PBTTT) and (poly(bithiophene-thienothiophene) derivative modified with a triethylene glycol side chain (Pg2T-TT). In PBTTT, we find that at most similar to 10% of the carriers become mobile once carrier concentrations reach similar to 3 x 1020 cm-3 (similar to 0.4 molar ratio of F4TCNQ:thiophene). In contrast, when using Pg2T-TT, we find that the mobile fraction exceeds 50% at carrier concentrations of similar to 3 x 1020 cm-3 (similar to 0.1 of the F4TCNQ molar ratio). Not only are these results consistent with Hall effect measurements, but they agree with an analysis of the semilocalized transport (SLoT) model. We fit the SLoT model and extract the depth of potential well in combination with Fermi-level measurements via scanning Kelvin probe microscopy. These fits further indicate that Pg2T-TT reaches delocalized transport conditions while transport in PBTTT remains localized. This work provides a straightforward platform for quantifying charge localization in molecularly doped conjugated polymers by providing explicit parameters governing the charge transport, including carrier concentration, mobility, and the fraction of mobile carriers.</t>
  </si>
  <si>
    <t>; Ginger, David/C-4866-2011</t>
  </si>
  <si>
    <t>Neu, Justin/0000-0002-8843-5580; Kwon, Sung-Joo/0000-0003-4659-0205;</t>
  </si>
  <si>
    <t>SEP 3</t>
  </si>
  <si>
    <t>10.1021/jacs.5c11337</t>
  </si>
  <si>
    <t>WOS:001555733000001</t>
  </si>
  <si>
    <t>Ren, L; Kuang, CY; Wang, HL; Zhou, JL; Shi, M; Xu, DT; Hu, HQ; Wang, YY</t>
  </si>
  <si>
    <t>Ren, Lei; Kuang, Caiyu; Wang, Hongle; Zhou, John L.; Shi, Min; Xu, Danting; Hu, Hanqiao; Wang, Yanyan</t>
  </si>
  <si>
    <t>Identification and Characterization of a Novel Di-(2-ethylhexyl) Phthalate Hydrolase from a Marine Bacterial Strain Mycolicibacterium phocaicum RL-HY01</t>
  </si>
  <si>
    <t>INTERNATIONAL JOURNAL OF MOLECULAR SCIENCES</t>
  </si>
  <si>
    <t>Phthalic acid esters (PAEs), ubiquitously employed as a plasticizer, have been classified as priority environmental pollutants because of their persistence, bioaccumulation, and endocrine-disrupting properties. As a characterized PAE-degrading strain of marine origin, Mycolicibacterium phocaicum RL-HY01 utilizes di-(2-ethylhexyl) phthalate (DEHP) as its sole carbon and energy source. Genome sequencing and RT-qPCR analysis revealed a previously uncharacterized hydrolase gene (dehpH) in strain RL-HY01, which catalyzes ester bond cleavage in PAEs. Subsequently, recombinant expression of the cloned dehpH gene from strain RL-HY01 was established in Escherichia coli BL21(DE3). The purified recombinant DehpH exhibited optimal activity at 30 degrees C and pH 8.0. Its activity was enhanced by Co2+ and tolerant to most metal ions but strongly inhibited by EDTA, SDS, and PMSF. Organic solvents (Tween-80, Triton X-100, methanol, ethanol, isopropanol, acetone, acetonitrile, ethyl acetate, and n-hexane) showed minimal impact. Substrate specificity assay indicated that DehpH could efficiently degrade the short and long side-chain PAEs but failed to hydrolyze the cyclic side-chain PAE (DCHP). The kinetics parameters for the hydrolysis of DEHP were determined under the optimized conditions, and DehpH had a Vmax of 0.047 +/- 0.002 mu mol/L/min, Km of 462 +/- 50 mu mol/L, and kcat of 3.07 s-1. Computational prediction through structural modeling and docking identified the active site, with mutagenesis studies confirming Ser228, Asp324, and His354 as functionally indispensable residues forming the catalytic triad. The identification and characterization of DehpH provided novel insights into the mechanism of DEHP biodegradation and might promote the application of the target enzyme.</t>
  </si>
  <si>
    <t>1661-6596</t>
  </si>
  <si>
    <t>1422-0067</t>
  </si>
  <si>
    <t>AUG 22</t>
  </si>
  <si>
    <t>10.3390/ijms26178141</t>
  </si>
  <si>
    <t>WOS:001569820600001</t>
  </si>
  <si>
    <t>Zhu, FW; Wang, X; Peng, WK; Wang, LM; Yang, L</t>
  </si>
  <si>
    <t>Zhu, Fawei; Wang, Xiang; Peng, Weikang; Wang, Lumin; Yang, Lei</t>
  </si>
  <si>
    <t>Multisignal Proportional Optical Chiral Sensing: Photoresponsive Molecular Probe with High Enantioselectivity for Stereospecific Molecular Recognition</t>
  </si>
  <si>
    <t>ANALYTICAL CHEMISTRY</t>
  </si>
  <si>
    <t>The differences in the spatial structures of chiral enantiomers often lead to variations in physiological activity. Focusing on the stereoselective behavior of chiral enantiomers, timely and accurate risk assessment has become an important issue in pharmaceutical research development. The development of high-selectivity and rapid discrimination detection methods is the key to chiral enantiomer-related research. This work reports the design and synthesis of an organic small molecule light responsive probe (HBT-CN) with a chiral recognition function. HBT-CN was prepared by introducing a single configuration of cyclohexanediamine into the parent structure through a simple amide reaction using benzothiazole derivatives as fluorescent precursors. The probe has proportional enantioselective fluorescence and UV-vis absorption response to amino acid methyl ester hydrochloride enantiomers and is sensitive by using direct titration. The enantiomeric fluorescence and UV-vis absorption difference ratios of R/S-PGME were 4.5, 12.8, and 10.5, respectively. The mechanism for the enantiomeric recognition was systematically studied through fluorescence spectroscopy, fluorescence lifetime, and density functional theory calculation. Presumably, the different hydrogen bonding capacities and side chain interactions of the chiral recognition module with two enantiomers mainly contributed to the difference in the signals. Therefore, cyclohexanediamine-modified benzothiazole shows potential as a photoresponsive chiral sensing platform for enantiomeric detection.</t>
  </si>
  <si>
    <t>Yang, Lei/KIK-7965-2024; Lei, Yang/KIK-7965-2024</t>
  </si>
  <si>
    <t>Lei, Yang/0000-0002-2382-9992</t>
  </si>
  <si>
    <t>0003-2700</t>
  </si>
  <si>
    <t>1520-6882</t>
  </si>
  <si>
    <t>SEP 9</t>
  </si>
  <si>
    <t>10.1021/acs.analchem.5c02384</t>
  </si>
  <si>
    <t>WOS:001555743300001</t>
  </si>
  <si>
    <t>Yu, Y; Cui, Y; Chen, ZH; Ou, MN; Zhang, T; Xiao, Y; Jia, D; Fu, Z; Wang, GL; Ren, JZ; Hao, XT; Hou, JH</t>
  </si>
  <si>
    <t>Yu, Yue; Cui, Yong; Chen, Zhihao; Ou, Miaoning; Zhang, Tao; Xiao, Yang; Jia, Di; Fu, Zhen; Wang, Guanlin; Ren, Junzhen; Hao, Xiaotao; Hou, Jianhui</t>
  </si>
  <si>
    <t>Molecular Design of Self-Doping Cathode Interlayer for Efficient and Humidity-Resistant Organic Photovoltaic Cells</t>
  </si>
  <si>
    <t>The power conversion efficiency (PCE) of organic photovoltaic (OPV) cells has surpassed 20%. However, their stability remains a critical issue that requires further improvement, particularly due to severe performance degradation under humid conditions. To tackle this challenge, a series of cathode interlayer materials-NDIP-M, NDIP3F-M, and NDIP4F-M-were rationally designed and synthesized through side-chain engineering combined with fluorination strategies. These materials exhibit enhanced hydrophobicity and maintain good solubility in alcohol-based solvents. Among them, NDIP3F-M showed optimized energy level alignment and reduced trap activation energy, leading to an improved fill factor and a PCE of 20.1%. Notably, due to the excellent humidity resistance of NDIP3F-M, an unencapsulated OPV cell based on NDIP3F-M retained 50% of its initial PCE after 400 h of exposure to air at 85% relative humidity, which is significantly higher than that of OPV cells employing commonly used cathode interlayer materials.</t>
  </si>
  <si>
    <t>Xiao, Yang/JGM-3278-2023; Cui, Yong/AAZ-7382-2021; Zhang, Tao/LSK-8265-2024; Hao, Xiaotao/AFU-3978-2022</t>
  </si>
  <si>
    <t>10.1021/jacs.5c09631</t>
  </si>
  <si>
    <t>WOS:001554100300001</t>
  </si>
  <si>
    <t>Li, HL; Jiang, ZS; Wang, F; Zhang, RG; Sun, RY; Wang, YZ; Song, F</t>
  </si>
  <si>
    <t>Li, Hang-Lin; Jiang, Zhi-Shuo; Wang, Fang; Zhang, Rong-Gang; Sun, Ren-Yi; Wang, Yu-Zhong; Song, Fei</t>
  </si>
  <si>
    <t>Alkyl Side-chain Engineering for Enhanced Anti-wettability and Stability in Non-fluorinated Liquid-repellent Coatings</t>
  </si>
  <si>
    <t>Developing nonfluorinated low-surface-energy coatings with robust environmental adaptability is crucial for green and sustainable industrial applications. Despite substantial advances in hierarchical structures and low-surface-energy chemical design strategies, the specific effect of alkyl chain length bearing a tertiary amine group in nonfluorinated low-surface-energy systems on the dynamic wetting behavior and long-term stability of liquid-repellent coatings remains underexplored. Here, the impact of alkyl side-chain length on the dynamic wettability and stability of superhydrophobic coatings is investigated. Three amine-functionalized monomers with varying alkyl side-chain lengths (C3, C6, and C9) are synthesized and grafted onto nanosilica via polymerization to form organic-inorganic hybrid coatings. The results show that increasing the alkyl side-chain length enhances the dynamic antiwetting capability and droplet bouncing behavior. Notably, the coating with the longest alkyl side chain exhibits an ultralow water adhesion of 22 mu N, enabling up to eight successive droplet rebounds upon impact due to the spring-like behavior of the extended alkyl chain. Moreover, increasing the alkyl side-chain length significantly enhances the water resistance and UV stability of the coatings. The C9-based coating demonstrates satisfactory durability, withstanding 288 h at a 5 cm depth and 192 h at a 25 cm depth of water, while maintaining stable superhydrophobicity even after 672 h of UV exposure. These findings demonstrate the critical role of alkyl side-chain length in regulating dynamic wettability and stability, providing insights for the rational design of durable fluorine-free superhydrophobic coatings for practical applications.</t>
  </si>
  <si>
    <t>Wang, Fang/IZD-5372-2023; Wang, Yu-Zhong/S-5172-2019; Song, Fei/E-8041-2011</t>
  </si>
  <si>
    <t>Wang, Fang/0009-0002-2739-8031; SONG, Fei/0000-0001-5229-4379</t>
  </si>
  <si>
    <t>AUG 27</t>
  </si>
  <si>
    <t>10.1021/acsami.5c08629</t>
  </si>
  <si>
    <t>WOS:001552019500001</t>
  </si>
  <si>
    <t>Fan, WC; Meng, XC; Song, GB; Zhang, J; Liu, ZB; Shi, YW; Sun, Y; Ding, GH</t>
  </si>
  <si>
    <t>Fan, Wencong; Meng, Xiangce; Song, Guobin; Zhang, Jing; Liu, Zhibo; Shi, Yawei; Sun, Ya; Ding, Guanghui</t>
  </si>
  <si>
    <t>Adsorption behaviors of typical phthalic acid esters on graphene oxide and the molecular mechanisms: Experiments and computational simulations</t>
  </si>
  <si>
    <t>In this study, adsorption behaviors of four phthalate acid esters (PAEs) with different side-chain characteristics, including dimethyl phthalate (DMP), diphenyl phthalate (DPhP), dibutyl phthalate (DBP) and diisobutyl phthalate (DIBP), on graphene oxide (GO) and the underlying mechanisms were investigated. Adsorption experiments revealed that the maximum adsorption capacity followed the order of DPhP (31.11 mg/g) &gt; DBP (29.24 mg/g) &gt;DIBP (29.12 mg/g) &gt; DMP (7.21 mg/g). As pH increased, the adsorption capacities of PAEs on GO decreased gradually. In addition, common cations and HA existed in water matrices, could partly inhibit the adsorption. The molecular dynamics simulations revealed three stages of the adsorption, including the aggregation of PAE molecules, the adsorption onto GO and the dispersion on the surface of GO. DBP revealed the fastest adsorption rate, as relatively stable DBP clusters were rapidly formed and adsorbed onto GO with shorter distances traveled. Compared with DBP, the steric hindrance effect and higher water solubility caused weaker adsorption of DIBP on GO. The hydrophobic effect, vdW interactions, pi-pi interactions, electrostatic interactions and hydrogen bond were proved to play indispensable roles during the adsorption of these PAEs on GO. As DPhP comprises three benzene rings, stronger interactions with GO contribute to its superior adsorption capacity. Furthermore, interactions between these PAEs and the carboxyl group on GO were found to be higher than those with the hydroxyl or epoxide groups, and therefore GO with more carboxyl groups should be more favorable for the adsorption of these PAEs. These findings could provide valuable insights into the adsorption mechanism of typical PAEs on GO, which could be used to develop efficient GO-based adsorbents and improve the removal efficiency of PAEs from water.</t>
  </si>
  <si>
    <t>Ding, Guanghui/ACB-5221-2022</t>
  </si>
  <si>
    <t>JAN 5</t>
  </si>
  <si>
    <t>10.1016/j.molstruc.2025.143610</t>
  </si>
  <si>
    <t>WOS:001583097100012</t>
  </si>
  <si>
    <t>Zhu, JQ; Deng, S; Wang, Q; Jiang, T; Shi, YL; Gao, G; Hao, ZY</t>
  </si>
  <si>
    <t>Zhu, Jieqiong; Deng, Shuo; Wang, Quan; Jiang, Tao; Shi, Yulei; Gao, Ge; Hao, Ziyan</t>
  </si>
  <si>
    <t>Characteristics and Genetic Mechanism of High-Sulfur Crude Oil in the Jinxian Sag: Insights from High-Resolution Mass Spectrometry</t>
  </si>
  <si>
    <t>High-sulfur crude oils are widely developed in the saline lacustrine facies of the Jinxian Sag, yet their genetic mechanisms remain a subject of long-standing debate. Investigating these mechanisms is crucial for advancing petroleum genesis theories and guiding hydrocarbon exploration strategies. This study employs chromatography-mass spectrometry (GC-MS) in combination with Fourier transform ion cyclotron resonance mass spectrometry (FT-ICR MS) to analyze high-sulfur crude oil in the Jinxian Sag at the molecular level. The analysis identified heteroatom compounds, including N1S1, O1S1, O2S1, S1, S2, and S3, with S1 class compounds being the predominant species. Organic sulfur compounds (OSCs) in crude oil have significant geochemical implications for assessing crude oil maturity. It is proposed that the ratios of DBE5-10/DBE1-4-S1 and C11-20/C21-45-DBE3-S1 can serve as maturity indicators for crude oil. These parameters reflect the aromatization and side-chain cracking processes of OSCs during thermal evolution, providing a potential method for accurately delineating crude oil maturity and assessing highly mature oils. Unlike typical high-sulfur oils derived from thermochemical sulfate reduction, the studied samples lack a predominance of dibenzothiophenes (DBE9-S1). Instead, they are enriched in sulfur-containing compounds with biomarker-like carbon skeletons (C26-30-DBE5-S1), which exhibit structural affinities to sterols formed via sulfate assimilation under the microbial reaction and subsequently incorporated into sediments. These compounds show a strong positive correlation with the sulfur content of the crude oils. In reducing environment, a large amount of inorganic sulfur undergoes intramolecular sulfurization with organic matter, primarily composed of sterol-like compounds, forming OSCs that retain the original carbon skeleton of the precursor compounds. These OSCs are subsequently incorporated into the kerogen, which is the primary mechanism for the formation of high-sulfur crude oil in the Jinxian Sag.</t>
  </si>
  <si>
    <t>AUG 26</t>
  </si>
  <si>
    <t>10.1021/acsomega.5c05212</t>
  </si>
  <si>
    <t>WOS:001551096500001</t>
  </si>
  <si>
    <t>Wang, XH; Mo, MY; Li, SY; Duan, BH; Nie, WJ; Zhang, H; Bai, FQ; Rong, CR; Wu, ZQ; Chen, Z; Jiang, ZH</t>
  </si>
  <si>
    <t>Wang, Xuehan; Mo, Mingyang; Li, Shiyi; Duan, Binghui; Nie, Wenjing; Zhang, Hao; Bai, Fuquan; Rong, Changru; Wu, Zong-Quan; Chen, Zheng; Jiang, Zhenhua</t>
  </si>
  <si>
    <t>Helical Poly(isocyanide anthraquinones)-Based Cathodes for Long-Cycling Lithium Metal Batteries</t>
  </si>
  <si>
    <t>Thanks to the unique rigid conformation and designable side-chain structure, helical polymers are starting to be more widely considered as ideal electrode materials in secondary batteries. In this study, a series of helical poly(isocyanide anthraquinones) (PIC-AQs), including PIC-1AQn and PIC-2AQn, were designed and synthesized via living polymerization using a palladium catalyst (Pd-II). The polymers feature a helical polyisocyanide main chain and anthraquinone (AQ) pendants, offer high yields (approximately 90%), controlled number-average molecular weight (Mn), and a low polymer dispersity index (PDI). Attributed to a narrow energy band gap, low unoccupied molecular orbitals, and high spatial freedom of PIC-2AQ, it exhibits excellent long-term stability in lithium metal batteries (LMBs), maintaining 141 mAh g-1 after 2000 cycles at 1 A g-1. Additionally, an in situ polymerized poly(ionic liquid) electrolyte was prepared for assembling a PIC-2AQ all-solid-state soft-pouch battery. And it remained stable under extreme operations like bending or cutting. Such a battery significantly broadens the application scope of organic LMBs and offers great potential for their use in flexible electronic devices.</t>
  </si>
  <si>
    <t>Chen, Zheng/F-7876-2015; Jiang, Zhenhua/KHZ-5192-2024; Nie, Wenjing/LZF-6129-2025; Wu, Zong-Quan/AAN-6870-2021; Bai, Fu-Quan/ACG-2583-2022</t>
  </si>
  <si>
    <t>SEP 26</t>
  </si>
  <si>
    <t>10.1002/anie.202512956</t>
  </si>
  <si>
    <t>WOS:001549879700001</t>
  </si>
  <si>
    <t>Zheng, XJ; Duan, CH; Widenhoefer, RA; Craig, SL</t>
  </si>
  <si>
    <t>Zheng, Xujun; Duan, Chenghao; Widenhoefer, Ross A.; Craig, Stephen L.</t>
  </si>
  <si>
    <t>Improving Catalytic Enantioselectivity of Hydrogenation through Swelling-Induced Molecular Tension in Polymer Networks</t>
  </si>
  <si>
    <t>Herein, we report that molecular tension generated by the swelling of a polyacrylate network containing a chiral [Biphep]Rh(I) catalyst as a tension-bearing, bis-tethered cross-linker enhances the enantioselectivity of hydrogenation of methyl 2-acetamidoacrylate. Differential swelling of the network is achieved by changing the relative concentrations of toluene (low swelling) and dichloromethane (high swelling) cosolvents. Swelling is characterized by the ratio of final to initial length in a single dimension of the network (lambda = l f/l i), noting that changes are the same in all dimensions; lambda x = lambda y = lambda z . The enantiomeric excess (ee) of the hydrogenation reaction increases monotonically with lambda, from 22% ee at lambda = 1.53 to 39% ee at lambda = 1.77. Control networks in which the catalyst is appended as a tension-free pendant side chain functionality display a minor change in ee as a function of swelling (ee = -0.7 +/- 3.1%) with no obvious correlation between the two. The change in enantioselectivity due to swelling of the mechanically coupled network for a given lambda is greater than when the same lambda x and lambda y are generated from the uniaxial compression along the normal z-axis, a result that is attributed to the isotropic strain associated with swelling in three dimensions rather than stretching in two dimensions. The results suggest that solvent swelling may provide a previously untapped modality for exploiting force-coupled catalysis in practical and scalable platforms, including those adapted from current polymer-supported catalysts.</t>
  </si>
  <si>
    <t>Craig, Stephen/AAP-6717-2020</t>
  </si>
  <si>
    <t>10.1021/jacs.5c09442</t>
  </si>
  <si>
    <t>WOS:001550174500001</t>
  </si>
  <si>
    <t>Su, ES; Oral, CB; Okay, O</t>
  </si>
  <si>
    <t>Su, Esra; Oral, Cigdem Buse; Okay, Oguz</t>
  </si>
  <si>
    <t>Quadruple Shape-Memory Organohydrogels with Adjustable Trigger Temperatures</t>
  </si>
  <si>
    <t>Organohydrogels (OHGs) are a class of soft materials with a biphasic structure consisting of hydrophilic and hydrophobic domains that interact with both water and organic solvents. This gives them unique properties and various applications, e.g., in biomedicine, antifreeze, soft robotics and environmental engineering, where adaptability and resilience are crucial. In the present work, we present OHG systems consisting of a continuous hydrogel phase based on silk fibroin (SF) in which single, binary or ternary combinations of semicrystalline poly(n-tetradecyl acrylate) (PC14A), poly(n-hexadecyl acrylate) (PC16A) and poly(n-octadecyl acrylate) (PC18A) micro-organogels with side chain lengths between 14 and 18 are dispersed. The OHGs withstand 90-94% compression without failure and have a high Young's modulus (up to 2.3 MPa) at room temperature. They exhibit thermosensitive viscoelastic and mechanical properties, and an effective shape-memory effect with finely adjustable trigger temperatures. We also show that the dimer or trimer combinations of hydrophobic poly(n-alkyl acrylates) exhibit cocrystallization that hinder the multishape-memory behavior in OHGs. To overcome this difficulty, we developed a gluing method in which the three hydrophobic layers are bonded together without mixing to create microinclusions with three hydrophobic layers. In this way, we were able to produce OHGs with quadruple shape-memory behavior, which have trigger temperatures of 40, 30, and 15 degrees C.</t>
  </si>
  <si>
    <t>SU, Esra/ABA-8224-2020; Oral, Cigdem Buse/LMN-9955-2024; Okay, Oguz/G-3794-2011</t>
  </si>
  <si>
    <t>10.1021/acsomega.5c05082</t>
  </si>
  <si>
    <t>WOS:001548369700001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</si>
</sst>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079E-5F27-004B-81ED-5DF464220C18}">
  <dimension ref="A1:BT80"/>
  <sheetViews>
    <sheetView tabSelected="1" workbookViewId="0">
      <selection sqref="A1:XFD80"/>
    </sheetView>
  </sheetViews>
  <sheetFormatPr baseColWidth="10" defaultRowHeight="16" x14ac:dyDescent="0.2"/>
  <sheetData>
    <row r="1" spans="1:72" x14ac:dyDescent="0.2">
      <c r="A1" t="s">
        <v>0</v>
      </c>
      <c r="B1" t="s">
        <v>1</v>
      </c>
      <c r="C1" t="s">
        <v>2</v>
      </c>
      <c r="D1" t="s">
        <v>3</v>
      </c>
      <c r="E1" t="s">
        <v>4</v>
      </c>
      <c r="F1" t="s">
        <v>5</v>
      </c>
      <c r="G1" t="s">
        <v>6</v>
      </c>
      <c r="H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
      <c r="A2" t="s">
        <v>72</v>
      </c>
      <c r="B2" t="s">
        <v>73</v>
      </c>
      <c r="C2" t="s">
        <v>74</v>
      </c>
      <c r="D2" t="s">
        <v>74</v>
      </c>
      <c r="E2" t="s">
        <v>74</v>
      </c>
      <c r="F2" t="s">
        <v>75</v>
      </c>
      <c r="G2" t="s">
        <v>74</v>
      </c>
      <c r="H2" t="s">
        <v>74</v>
      </c>
      <c r="I2" t="s">
        <v>76</v>
      </c>
      <c r="J2" t="s">
        <v>77</v>
      </c>
      <c r="K2" t="s">
        <v>74</v>
      </c>
      <c r="L2" t="s">
        <v>74</v>
      </c>
      <c r="M2" t="s">
        <v>74</v>
      </c>
      <c r="N2" t="s">
        <v>74</v>
      </c>
      <c r="O2" t="s">
        <v>74</v>
      </c>
      <c r="P2" t="s">
        <v>74</v>
      </c>
      <c r="Q2" t="s">
        <v>74</v>
      </c>
      <c r="R2" t="s">
        <v>74</v>
      </c>
      <c r="S2" t="s">
        <v>74</v>
      </c>
      <c r="T2" t="s">
        <v>74</v>
      </c>
      <c r="U2" t="s">
        <v>74</v>
      </c>
      <c r="V2" t="s">
        <v>78</v>
      </c>
      <c r="W2" t="s">
        <v>74</v>
      </c>
      <c r="X2" t="s">
        <v>74</v>
      </c>
      <c r="Y2" t="s">
        <v>74</v>
      </c>
      <c r="Z2" t="s">
        <v>74</v>
      </c>
      <c r="AA2" t="s">
        <v>79</v>
      </c>
      <c r="AB2" t="s">
        <v>74</v>
      </c>
      <c r="AC2" t="s">
        <v>74</v>
      </c>
      <c r="AD2" t="s">
        <v>74</v>
      </c>
      <c r="AE2" t="s">
        <v>74</v>
      </c>
      <c r="AF2" t="s">
        <v>74</v>
      </c>
      <c r="AG2" t="s">
        <v>74</v>
      </c>
      <c r="AH2" t="s">
        <v>74</v>
      </c>
      <c r="AI2" t="s">
        <v>74</v>
      </c>
      <c r="AJ2" t="s">
        <v>74</v>
      </c>
      <c r="AK2" t="s">
        <v>74</v>
      </c>
      <c r="AL2" t="s">
        <v>74</v>
      </c>
      <c r="AM2" t="s">
        <v>74</v>
      </c>
      <c r="AN2" t="s">
        <v>74</v>
      </c>
      <c r="AO2" t="s">
        <v>80</v>
      </c>
      <c r="AP2" t="s">
        <v>81</v>
      </c>
      <c r="AQ2" t="s">
        <v>74</v>
      </c>
      <c r="AR2" t="s">
        <v>74</v>
      </c>
      <c r="AS2" t="s">
        <v>74</v>
      </c>
      <c r="AT2" t="s">
        <v>82</v>
      </c>
      <c r="AU2">
        <v>2026</v>
      </c>
      <c r="AV2">
        <v>245</v>
      </c>
      <c r="AW2" t="s">
        <v>74</v>
      </c>
      <c r="AX2" t="s">
        <v>74</v>
      </c>
      <c r="AY2" t="s">
        <v>74</v>
      </c>
      <c r="AZ2" t="s">
        <v>74</v>
      </c>
      <c r="BA2" t="s">
        <v>74</v>
      </c>
      <c r="BB2" t="s">
        <v>74</v>
      </c>
      <c r="BC2" t="s">
        <v>74</v>
      </c>
      <c r="BD2">
        <v>113207</v>
      </c>
      <c r="BE2" t="s">
        <v>83</v>
      </c>
      <c r="BF2" t="str">
        <f>HYPERLINK("http://dx.doi.org/10.1016/j.dyepig.2025.113207","http://dx.doi.org/10.1016/j.dyepig.2025.113207")</f>
        <v>http://dx.doi.org/10.1016/j.dyepig.2025.113207</v>
      </c>
      <c r="BG2" t="s">
        <v>74</v>
      </c>
      <c r="BH2" t="s">
        <v>74</v>
      </c>
      <c r="BI2" t="s">
        <v>74</v>
      </c>
      <c r="BJ2" t="s">
        <v>74</v>
      </c>
      <c r="BK2" t="s">
        <v>74</v>
      </c>
      <c r="BL2" t="s">
        <v>74</v>
      </c>
      <c r="BM2" t="s">
        <v>74</v>
      </c>
      <c r="BN2" t="s">
        <v>74</v>
      </c>
      <c r="BO2" t="s">
        <v>74</v>
      </c>
      <c r="BP2" t="s">
        <v>74</v>
      </c>
      <c r="BQ2" t="s">
        <v>74</v>
      </c>
      <c r="BR2" t="s">
        <v>74</v>
      </c>
      <c r="BS2" t="s">
        <v>84</v>
      </c>
      <c r="BT2" t="str">
        <f>HYPERLINK("https%3A%2F%2Fwww.webofscience.com%2Fwos%2Fwoscc%2Ffull-record%2FWOS:001568946200001","View Full Record in Web of Science")</f>
        <v>View Full Record in Web of Science</v>
      </c>
    </row>
    <row r="3" spans="1:72" x14ac:dyDescent="0.2">
      <c r="A3" t="s">
        <v>72</v>
      </c>
      <c r="B3" t="s">
        <v>85</v>
      </c>
      <c r="C3" t="s">
        <v>74</v>
      </c>
      <c r="D3" t="s">
        <v>74</v>
      </c>
      <c r="E3" t="s">
        <v>74</v>
      </c>
      <c r="F3" t="s">
        <v>86</v>
      </c>
      <c r="G3" t="s">
        <v>74</v>
      </c>
      <c r="H3" t="s">
        <v>74</v>
      </c>
      <c r="I3" t="s">
        <v>87</v>
      </c>
      <c r="J3" t="s">
        <v>88</v>
      </c>
      <c r="K3" t="s">
        <v>74</v>
      </c>
      <c r="L3" t="s">
        <v>74</v>
      </c>
      <c r="M3" t="s">
        <v>74</v>
      </c>
      <c r="N3" t="s">
        <v>74</v>
      </c>
      <c r="O3" t="s">
        <v>74</v>
      </c>
      <c r="P3" t="s">
        <v>74</v>
      </c>
      <c r="Q3" t="s">
        <v>74</v>
      </c>
      <c r="R3" t="s">
        <v>74</v>
      </c>
      <c r="S3" t="s">
        <v>74</v>
      </c>
      <c r="T3" t="s">
        <v>74</v>
      </c>
      <c r="U3" t="s">
        <v>74</v>
      </c>
      <c r="V3" t="s">
        <v>89</v>
      </c>
      <c r="W3" t="s">
        <v>74</v>
      </c>
      <c r="X3" t="s">
        <v>74</v>
      </c>
      <c r="Y3" t="s">
        <v>74</v>
      </c>
      <c r="Z3" t="s">
        <v>74</v>
      </c>
      <c r="AA3" t="s">
        <v>74</v>
      </c>
      <c r="AB3" t="s">
        <v>74</v>
      </c>
      <c r="AC3" t="s">
        <v>74</v>
      </c>
      <c r="AD3" t="s">
        <v>74</v>
      </c>
      <c r="AE3" t="s">
        <v>74</v>
      </c>
      <c r="AF3" t="s">
        <v>74</v>
      </c>
      <c r="AG3" t="s">
        <v>74</v>
      </c>
      <c r="AH3" t="s">
        <v>74</v>
      </c>
      <c r="AI3" t="s">
        <v>74</v>
      </c>
      <c r="AJ3" t="s">
        <v>74</v>
      </c>
      <c r="AK3" t="s">
        <v>74</v>
      </c>
      <c r="AL3" t="s">
        <v>74</v>
      </c>
      <c r="AM3" t="s">
        <v>74</v>
      </c>
      <c r="AN3" t="s">
        <v>74</v>
      </c>
      <c r="AO3" t="s">
        <v>90</v>
      </c>
      <c r="AP3" t="s">
        <v>91</v>
      </c>
      <c r="AQ3" t="s">
        <v>74</v>
      </c>
      <c r="AR3" t="s">
        <v>74</v>
      </c>
      <c r="AS3" t="s">
        <v>74</v>
      </c>
      <c r="AT3" t="s">
        <v>92</v>
      </c>
      <c r="AU3">
        <v>2026</v>
      </c>
      <c r="AV3">
        <v>295</v>
      </c>
      <c r="AW3" t="s">
        <v>74</v>
      </c>
      <c r="AX3" t="s">
        <v>74</v>
      </c>
      <c r="AY3" t="s">
        <v>74</v>
      </c>
      <c r="AZ3" t="s">
        <v>74</v>
      </c>
      <c r="BA3" t="s">
        <v>74</v>
      </c>
      <c r="BB3" t="s">
        <v>74</v>
      </c>
      <c r="BC3" t="s">
        <v>74</v>
      </c>
      <c r="BD3">
        <v>113997</v>
      </c>
      <c r="BE3" t="s">
        <v>93</v>
      </c>
      <c r="BF3" t="str">
        <f>HYPERLINK("http://dx.doi.org/10.1016/j.solmat.2025.113997","http://dx.doi.org/10.1016/j.solmat.2025.113997")</f>
        <v>http://dx.doi.org/10.1016/j.solmat.2025.113997</v>
      </c>
      <c r="BG3" t="s">
        <v>74</v>
      </c>
      <c r="BH3" t="s">
        <v>74</v>
      </c>
      <c r="BI3" t="s">
        <v>74</v>
      </c>
      <c r="BJ3" t="s">
        <v>74</v>
      </c>
      <c r="BK3" t="s">
        <v>74</v>
      </c>
      <c r="BL3" t="s">
        <v>74</v>
      </c>
      <c r="BM3" t="s">
        <v>74</v>
      </c>
      <c r="BN3" t="s">
        <v>74</v>
      </c>
      <c r="BO3" t="s">
        <v>74</v>
      </c>
      <c r="BP3" t="s">
        <v>74</v>
      </c>
      <c r="BQ3" t="s">
        <v>74</v>
      </c>
      <c r="BR3" t="s">
        <v>74</v>
      </c>
      <c r="BS3" t="s">
        <v>94</v>
      </c>
      <c r="BT3" t="str">
        <f>HYPERLINK("https%3A%2F%2Fwww.webofscience.com%2Fwos%2Fwoscc%2Ffull-record%2FWOS:001594008800001","View Full Record in Web of Science")</f>
        <v>View Full Record in Web of Science</v>
      </c>
    </row>
    <row r="4" spans="1:72" x14ac:dyDescent="0.2">
      <c r="A4" t="s">
        <v>72</v>
      </c>
      <c r="B4" t="s">
        <v>95</v>
      </c>
      <c r="C4" t="s">
        <v>74</v>
      </c>
      <c r="D4" t="s">
        <v>74</v>
      </c>
      <c r="E4" t="s">
        <v>74</v>
      </c>
      <c r="F4" t="s">
        <v>96</v>
      </c>
      <c r="G4" t="s">
        <v>74</v>
      </c>
      <c r="H4" t="s">
        <v>74</v>
      </c>
      <c r="I4" t="s">
        <v>97</v>
      </c>
      <c r="J4" t="s">
        <v>98</v>
      </c>
      <c r="K4" t="s">
        <v>74</v>
      </c>
      <c r="L4" t="s">
        <v>74</v>
      </c>
      <c r="M4" t="s">
        <v>74</v>
      </c>
      <c r="N4" t="s">
        <v>74</v>
      </c>
      <c r="O4" t="s">
        <v>74</v>
      </c>
      <c r="P4" t="s">
        <v>74</v>
      </c>
      <c r="Q4" t="s">
        <v>74</v>
      </c>
      <c r="R4" t="s">
        <v>74</v>
      </c>
      <c r="S4" t="s">
        <v>74</v>
      </c>
      <c r="T4" t="s">
        <v>74</v>
      </c>
      <c r="U4" t="s">
        <v>74</v>
      </c>
      <c r="V4" t="s">
        <v>99</v>
      </c>
      <c r="W4" t="s">
        <v>74</v>
      </c>
      <c r="X4" t="s">
        <v>74</v>
      </c>
      <c r="Y4" t="s">
        <v>74</v>
      </c>
      <c r="Z4" t="s">
        <v>74</v>
      </c>
      <c r="AA4" t="s">
        <v>74</v>
      </c>
      <c r="AB4" t="s">
        <v>74</v>
      </c>
      <c r="AC4" t="s">
        <v>74</v>
      </c>
      <c r="AD4" t="s">
        <v>74</v>
      </c>
      <c r="AE4" t="s">
        <v>74</v>
      </c>
      <c r="AF4" t="s">
        <v>74</v>
      </c>
      <c r="AG4" t="s">
        <v>74</v>
      </c>
      <c r="AH4" t="s">
        <v>74</v>
      </c>
      <c r="AI4" t="s">
        <v>74</v>
      </c>
      <c r="AJ4" t="s">
        <v>74</v>
      </c>
      <c r="AK4" t="s">
        <v>74</v>
      </c>
      <c r="AL4" t="s">
        <v>74</v>
      </c>
      <c r="AM4" t="s">
        <v>74</v>
      </c>
      <c r="AN4" t="s">
        <v>74</v>
      </c>
      <c r="AO4" t="s">
        <v>100</v>
      </c>
      <c r="AP4" t="s">
        <v>101</v>
      </c>
      <c r="AQ4" t="s">
        <v>74</v>
      </c>
      <c r="AR4" t="s">
        <v>74</v>
      </c>
      <c r="AS4" t="s">
        <v>74</v>
      </c>
      <c r="AT4" t="s">
        <v>102</v>
      </c>
      <c r="AU4">
        <v>2026</v>
      </c>
      <c r="AV4">
        <v>201</v>
      </c>
      <c r="AW4" t="s">
        <v>74</v>
      </c>
      <c r="AX4" t="s">
        <v>74</v>
      </c>
      <c r="AY4" t="s">
        <v>74</v>
      </c>
      <c r="AZ4" t="s">
        <v>74</v>
      </c>
      <c r="BA4" t="s">
        <v>74</v>
      </c>
      <c r="BB4" t="s">
        <v>74</v>
      </c>
      <c r="BC4" t="s">
        <v>74</v>
      </c>
      <c r="BD4">
        <v>110051</v>
      </c>
      <c r="BE4" t="s">
        <v>103</v>
      </c>
      <c r="BF4" t="str">
        <f>HYPERLINK("http://dx.doi.org/10.1016/j.mssp.2025.110051","http://dx.doi.org/10.1016/j.mssp.2025.110051")</f>
        <v>http://dx.doi.org/10.1016/j.mssp.2025.110051</v>
      </c>
      <c r="BG4" t="s">
        <v>74</v>
      </c>
      <c r="BH4" t="s">
        <v>74</v>
      </c>
      <c r="BI4" t="s">
        <v>74</v>
      </c>
      <c r="BJ4" t="s">
        <v>74</v>
      </c>
      <c r="BK4" t="s">
        <v>74</v>
      </c>
      <c r="BL4" t="s">
        <v>74</v>
      </c>
      <c r="BM4" t="s">
        <v>74</v>
      </c>
      <c r="BN4" t="s">
        <v>74</v>
      </c>
      <c r="BO4" t="s">
        <v>74</v>
      </c>
      <c r="BP4" t="s">
        <v>74</v>
      </c>
      <c r="BQ4" t="s">
        <v>74</v>
      </c>
      <c r="BR4" t="s">
        <v>74</v>
      </c>
      <c r="BS4" t="s">
        <v>104</v>
      </c>
      <c r="BT4" t="str">
        <f>HYPERLINK("https%3A%2F%2Fwww.webofscience.com%2Fwos%2Fwoscc%2Ffull-record%2FWOS:001573432900001","View Full Record in Web of Science")</f>
        <v>View Full Record in Web of Science</v>
      </c>
    </row>
    <row r="5" spans="1:72" x14ac:dyDescent="0.2">
      <c r="A5" t="s">
        <v>72</v>
      </c>
      <c r="B5" t="s">
        <v>105</v>
      </c>
      <c r="C5" t="s">
        <v>74</v>
      </c>
      <c r="D5" t="s">
        <v>74</v>
      </c>
      <c r="E5" t="s">
        <v>74</v>
      </c>
      <c r="F5" t="s">
        <v>106</v>
      </c>
      <c r="G5" t="s">
        <v>74</v>
      </c>
      <c r="H5" t="s">
        <v>74</v>
      </c>
      <c r="I5" t="s">
        <v>107</v>
      </c>
      <c r="J5" t="s">
        <v>108</v>
      </c>
      <c r="K5" t="s">
        <v>74</v>
      </c>
      <c r="L5" t="s">
        <v>74</v>
      </c>
      <c r="M5" t="s">
        <v>74</v>
      </c>
      <c r="N5" t="s">
        <v>74</v>
      </c>
      <c r="O5" t="s">
        <v>74</v>
      </c>
      <c r="P5" t="s">
        <v>74</v>
      </c>
      <c r="Q5" t="s">
        <v>74</v>
      </c>
      <c r="R5" t="s">
        <v>74</v>
      </c>
      <c r="S5" t="s">
        <v>74</v>
      </c>
      <c r="T5" t="s">
        <v>74</v>
      </c>
      <c r="U5" t="s">
        <v>74</v>
      </c>
      <c r="V5" t="s">
        <v>109</v>
      </c>
      <c r="W5" t="s">
        <v>74</v>
      </c>
      <c r="X5" t="s">
        <v>74</v>
      </c>
      <c r="Y5" t="s">
        <v>74</v>
      </c>
      <c r="Z5" t="s">
        <v>74</v>
      </c>
      <c r="AA5" t="s">
        <v>110</v>
      </c>
      <c r="AB5" t="s">
        <v>111</v>
      </c>
      <c r="AC5" t="s">
        <v>74</v>
      </c>
      <c r="AD5" t="s">
        <v>74</v>
      </c>
      <c r="AE5" t="s">
        <v>74</v>
      </c>
      <c r="AF5" t="s">
        <v>74</v>
      </c>
      <c r="AG5" t="s">
        <v>74</v>
      </c>
      <c r="AH5" t="s">
        <v>74</v>
      </c>
      <c r="AI5" t="s">
        <v>74</v>
      </c>
      <c r="AJ5" t="s">
        <v>74</v>
      </c>
      <c r="AK5" t="s">
        <v>74</v>
      </c>
      <c r="AL5" t="s">
        <v>74</v>
      </c>
      <c r="AM5" t="s">
        <v>74</v>
      </c>
      <c r="AN5" t="s">
        <v>74</v>
      </c>
      <c r="AO5" t="s">
        <v>112</v>
      </c>
      <c r="AP5" t="s">
        <v>113</v>
      </c>
      <c r="AQ5" t="s">
        <v>74</v>
      </c>
      <c r="AR5" t="s">
        <v>74</v>
      </c>
      <c r="AS5" t="s">
        <v>74</v>
      </c>
      <c r="AT5" t="s">
        <v>114</v>
      </c>
      <c r="AU5">
        <v>2025</v>
      </c>
      <c r="AV5">
        <v>26</v>
      </c>
      <c r="AW5">
        <v>1</v>
      </c>
      <c r="AX5" t="s">
        <v>74</v>
      </c>
      <c r="AY5" t="s">
        <v>74</v>
      </c>
      <c r="AZ5" t="s">
        <v>74</v>
      </c>
      <c r="BA5" t="s">
        <v>74</v>
      </c>
      <c r="BB5" t="s">
        <v>74</v>
      </c>
      <c r="BC5" t="s">
        <v>74</v>
      </c>
      <c r="BD5">
        <v>2466417</v>
      </c>
      <c r="BE5" t="s">
        <v>115</v>
      </c>
      <c r="BF5" t="str">
        <f>HYPERLINK("http://dx.doi.org/10.1080/14686996.2025.2466417","http://dx.doi.org/10.1080/14686996.2025.2466417")</f>
        <v>http://dx.doi.org/10.1080/14686996.2025.2466417</v>
      </c>
      <c r="BG5" t="s">
        <v>74</v>
      </c>
      <c r="BH5" t="s">
        <v>74</v>
      </c>
      <c r="BI5" t="s">
        <v>74</v>
      </c>
      <c r="BJ5" t="s">
        <v>74</v>
      </c>
      <c r="BK5" t="s">
        <v>74</v>
      </c>
      <c r="BL5" t="s">
        <v>74</v>
      </c>
      <c r="BM5" t="s">
        <v>74</v>
      </c>
      <c r="BN5">
        <v>40051724</v>
      </c>
      <c r="BO5" t="s">
        <v>74</v>
      </c>
      <c r="BP5" t="s">
        <v>74</v>
      </c>
      <c r="BQ5" t="s">
        <v>74</v>
      </c>
      <c r="BR5" t="s">
        <v>74</v>
      </c>
      <c r="BS5" t="s">
        <v>116</v>
      </c>
      <c r="BT5" t="str">
        <f>HYPERLINK("https%3A%2F%2Fwww.webofscience.com%2Fwos%2Fwoscc%2Ffull-record%2FWOS:001437382400001","View Full Record in Web of Science")</f>
        <v>View Full Record in Web of Science</v>
      </c>
    </row>
    <row r="6" spans="1:72" x14ac:dyDescent="0.2">
      <c r="A6" t="s">
        <v>72</v>
      </c>
      <c r="B6" t="s">
        <v>117</v>
      </c>
      <c r="C6" t="s">
        <v>74</v>
      </c>
      <c r="D6" t="s">
        <v>74</v>
      </c>
      <c r="E6" t="s">
        <v>74</v>
      </c>
      <c r="F6" t="s">
        <v>118</v>
      </c>
      <c r="G6" t="s">
        <v>74</v>
      </c>
      <c r="H6" t="s">
        <v>74</v>
      </c>
      <c r="I6" t="s">
        <v>119</v>
      </c>
      <c r="J6" t="s">
        <v>120</v>
      </c>
      <c r="K6" t="s">
        <v>74</v>
      </c>
      <c r="L6" t="s">
        <v>74</v>
      </c>
      <c r="M6" t="s">
        <v>74</v>
      </c>
      <c r="N6" t="s">
        <v>74</v>
      </c>
      <c r="O6" t="s">
        <v>74</v>
      </c>
      <c r="P6" t="s">
        <v>74</v>
      </c>
      <c r="Q6" t="s">
        <v>74</v>
      </c>
      <c r="R6" t="s">
        <v>74</v>
      </c>
      <c r="S6" t="s">
        <v>74</v>
      </c>
      <c r="T6" t="s">
        <v>74</v>
      </c>
      <c r="U6" t="s">
        <v>74</v>
      </c>
      <c r="V6" t="s">
        <v>121</v>
      </c>
      <c r="W6" t="s">
        <v>74</v>
      </c>
      <c r="X6" t="s">
        <v>74</v>
      </c>
      <c r="Y6" t="s">
        <v>74</v>
      </c>
      <c r="Z6" t="s">
        <v>74</v>
      </c>
      <c r="AA6" t="s">
        <v>122</v>
      </c>
      <c r="AB6" t="s">
        <v>123</v>
      </c>
      <c r="AC6" t="s">
        <v>74</v>
      </c>
      <c r="AD6" t="s">
        <v>74</v>
      </c>
      <c r="AE6" t="s">
        <v>74</v>
      </c>
      <c r="AF6" t="s">
        <v>74</v>
      </c>
      <c r="AG6" t="s">
        <v>74</v>
      </c>
      <c r="AH6" t="s">
        <v>74</v>
      </c>
      <c r="AI6" t="s">
        <v>74</v>
      </c>
      <c r="AJ6" t="s">
        <v>74</v>
      </c>
      <c r="AK6" t="s">
        <v>74</v>
      </c>
      <c r="AL6" t="s">
        <v>74</v>
      </c>
      <c r="AM6" t="s">
        <v>74</v>
      </c>
      <c r="AN6" t="s">
        <v>74</v>
      </c>
      <c r="AO6" t="s">
        <v>124</v>
      </c>
      <c r="AP6" t="s">
        <v>125</v>
      </c>
      <c r="AQ6" t="s">
        <v>74</v>
      </c>
      <c r="AR6" t="s">
        <v>74</v>
      </c>
      <c r="AS6" t="s">
        <v>74</v>
      </c>
      <c r="AT6" t="s">
        <v>126</v>
      </c>
      <c r="AU6">
        <v>2025</v>
      </c>
      <c r="AV6">
        <v>376</v>
      </c>
      <c r="AW6" t="s">
        <v>74</v>
      </c>
      <c r="AX6">
        <v>3</v>
      </c>
      <c r="AY6" t="s">
        <v>74</v>
      </c>
      <c r="AZ6" t="s">
        <v>74</v>
      </c>
      <c r="BA6" t="s">
        <v>74</v>
      </c>
      <c r="BB6" t="s">
        <v>74</v>
      </c>
      <c r="BC6" t="s">
        <v>74</v>
      </c>
      <c r="BD6">
        <v>134157</v>
      </c>
      <c r="BE6" t="s">
        <v>127</v>
      </c>
      <c r="BF6" t="str">
        <f>HYPERLINK("http://dx.doi.org/10.1016/j.seppur.2025.134157","http://dx.doi.org/10.1016/j.seppur.2025.134157")</f>
        <v>http://dx.doi.org/10.1016/j.seppur.2025.134157</v>
      </c>
      <c r="BG6" t="s">
        <v>74</v>
      </c>
      <c r="BH6" t="s">
        <v>74</v>
      </c>
      <c r="BI6" t="s">
        <v>74</v>
      </c>
      <c r="BJ6" t="s">
        <v>74</v>
      </c>
      <c r="BK6" t="s">
        <v>74</v>
      </c>
      <c r="BL6" t="s">
        <v>74</v>
      </c>
      <c r="BM6" t="s">
        <v>74</v>
      </c>
      <c r="BN6" t="s">
        <v>74</v>
      </c>
      <c r="BO6" t="s">
        <v>74</v>
      </c>
      <c r="BP6" t="s">
        <v>74</v>
      </c>
      <c r="BQ6" t="s">
        <v>74</v>
      </c>
      <c r="BR6" t="s">
        <v>74</v>
      </c>
      <c r="BS6" t="s">
        <v>128</v>
      </c>
      <c r="BT6" t="str">
        <f>HYPERLINK("https%3A%2F%2Fwww.webofscience.com%2Fwos%2Fwoscc%2Ffull-record%2FWOS:001524664600005","View Full Record in Web of Science")</f>
        <v>View Full Record in Web of Science</v>
      </c>
    </row>
    <row r="7" spans="1:72" x14ac:dyDescent="0.2">
      <c r="A7" t="s">
        <v>72</v>
      </c>
      <c r="B7" t="s">
        <v>129</v>
      </c>
      <c r="C7" t="s">
        <v>74</v>
      </c>
      <c r="D7" t="s">
        <v>74</v>
      </c>
      <c r="E7" t="s">
        <v>74</v>
      </c>
      <c r="F7" t="s">
        <v>130</v>
      </c>
      <c r="G7" t="s">
        <v>74</v>
      </c>
      <c r="H7" t="s">
        <v>74</v>
      </c>
      <c r="I7" t="s">
        <v>131</v>
      </c>
      <c r="J7" t="s">
        <v>132</v>
      </c>
      <c r="K7" t="s">
        <v>74</v>
      </c>
      <c r="L7" t="s">
        <v>74</v>
      </c>
      <c r="M7" t="s">
        <v>74</v>
      </c>
      <c r="N7" t="s">
        <v>74</v>
      </c>
      <c r="O7" t="s">
        <v>74</v>
      </c>
      <c r="P7" t="s">
        <v>74</v>
      </c>
      <c r="Q7" t="s">
        <v>74</v>
      </c>
      <c r="R7" t="s">
        <v>74</v>
      </c>
      <c r="S7" t="s">
        <v>74</v>
      </c>
      <c r="T7" t="s">
        <v>74</v>
      </c>
      <c r="U7" t="s">
        <v>74</v>
      </c>
      <c r="V7" t="s">
        <v>133</v>
      </c>
      <c r="W7" t="s">
        <v>74</v>
      </c>
      <c r="X7" t="s">
        <v>74</v>
      </c>
      <c r="Y7" t="s">
        <v>74</v>
      </c>
      <c r="Z7" t="s">
        <v>74</v>
      </c>
      <c r="AA7" t="s">
        <v>74</v>
      </c>
      <c r="AB7" t="s">
        <v>74</v>
      </c>
      <c r="AC7" t="s">
        <v>74</v>
      </c>
      <c r="AD7" t="s">
        <v>74</v>
      </c>
      <c r="AE7" t="s">
        <v>74</v>
      </c>
      <c r="AF7" t="s">
        <v>74</v>
      </c>
      <c r="AG7" t="s">
        <v>74</v>
      </c>
      <c r="AH7" t="s">
        <v>74</v>
      </c>
      <c r="AI7" t="s">
        <v>74</v>
      </c>
      <c r="AJ7" t="s">
        <v>74</v>
      </c>
      <c r="AK7" t="s">
        <v>74</v>
      </c>
      <c r="AL7" t="s">
        <v>74</v>
      </c>
      <c r="AM7" t="s">
        <v>74</v>
      </c>
      <c r="AN7" t="s">
        <v>74</v>
      </c>
      <c r="AO7" t="s">
        <v>134</v>
      </c>
      <c r="AP7" t="s">
        <v>135</v>
      </c>
      <c r="AQ7" t="s">
        <v>74</v>
      </c>
      <c r="AR7" t="s">
        <v>74</v>
      </c>
      <c r="AS7" t="s">
        <v>74</v>
      </c>
      <c r="AT7" t="s">
        <v>136</v>
      </c>
      <c r="AU7">
        <v>2025</v>
      </c>
      <c r="AV7">
        <v>469</v>
      </c>
      <c r="AW7" t="s">
        <v>74</v>
      </c>
      <c r="AX7" t="s">
        <v>74</v>
      </c>
      <c r="AY7" t="s">
        <v>74</v>
      </c>
      <c r="AZ7" t="s">
        <v>74</v>
      </c>
      <c r="BA7" t="s">
        <v>74</v>
      </c>
      <c r="BB7" t="s">
        <v>74</v>
      </c>
      <c r="BC7" t="s">
        <v>74</v>
      </c>
      <c r="BD7">
        <v>116530</v>
      </c>
      <c r="BE7" t="s">
        <v>137</v>
      </c>
      <c r="BF7" t="str">
        <f>HYPERLINK("http://dx.doi.org/10.1016/j.jphotochem.2025.116530","http://dx.doi.org/10.1016/j.jphotochem.2025.116530")</f>
        <v>http://dx.doi.org/10.1016/j.jphotochem.2025.116530</v>
      </c>
      <c r="BG7" t="s">
        <v>74</v>
      </c>
      <c r="BH7" t="s">
        <v>74</v>
      </c>
      <c r="BI7" t="s">
        <v>74</v>
      </c>
      <c r="BJ7" t="s">
        <v>74</v>
      </c>
      <c r="BK7" t="s">
        <v>74</v>
      </c>
      <c r="BL7" t="s">
        <v>74</v>
      </c>
      <c r="BM7" t="s">
        <v>74</v>
      </c>
      <c r="BN7" t="s">
        <v>74</v>
      </c>
      <c r="BO7" t="s">
        <v>74</v>
      </c>
      <c r="BP7" t="s">
        <v>74</v>
      </c>
      <c r="BQ7" t="s">
        <v>74</v>
      </c>
      <c r="BR7" t="s">
        <v>74</v>
      </c>
      <c r="BS7" t="s">
        <v>138</v>
      </c>
      <c r="BT7" t="str">
        <f>HYPERLINK("https%3A%2F%2Fwww.webofscience.com%2Fwos%2Fwoscc%2Ffull-record%2FWOS:001505559300001","View Full Record in Web of Science")</f>
        <v>View Full Record in Web of Science</v>
      </c>
    </row>
    <row r="8" spans="1:72" x14ac:dyDescent="0.2">
      <c r="A8" t="s">
        <v>72</v>
      </c>
      <c r="B8" t="s">
        <v>139</v>
      </c>
      <c r="C8" t="s">
        <v>74</v>
      </c>
      <c r="D8" t="s">
        <v>74</v>
      </c>
      <c r="E8" t="s">
        <v>74</v>
      </c>
      <c r="F8" t="s">
        <v>140</v>
      </c>
      <c r="G8" t="s">
        <v>74</v>
      </c>
      <c r="H8" t="s">
        <v>74</v>
      </c>
      <c r="I8" t="s">
        <v>141</v>
      </c>
      <c r="J8" t="s">
        <v>142</v>
      </c>
      <c r="K8" t="s">
        <v>74</v>
      </c>
      <c r="L8" t="s">
        <v>74</v>
      </c>
      <c r="M8" t="s">
        <v>74</v>
      </c>
      <c r="N8" t="s">
        <v>74</v>
      </c>
      <c r="O8" t="s">
        <v>74</v>
      </c>
      <c r="P8" t="s">
        <v>74</v>
      </c>
      <c r="Q8" t="s">
        <v>74</v>
      </c>
      <c r="R8" t="s">
        <v>74</v>
      </c>
      <c r="S8" t="s">
        <v>74</v>
      </c>
      <c r="T8" t="s">
        <v>74</v>
      </c>
      <c r="U8" t="s">
        <v>74</v>
      </c>
      <c r="V8" t="s">
        <v>143</v>
      </c>
      <c r="W8" t="s">
        <v>74</v>
      </c>
      <c r="X8" t="s">
        <v>74</v>
      </c>
      <c r="Y8" t="s">
        <v>74</v>
      </c>
      <c r="Z8" t="s">
        <v>74</v>
      </c>
      <c r="AA8" t="s">
        <v>74</v>
      </c>
      <c r="AB8" t="s">
        <v>74</v>
      </c>
      <c r="AC8" t="s">
        <v>74</v>
      </c>
      <c r="AD8" t="s">
        <v>74</v>
      </c>
      <c r="AE8" t="s">
        <v>74</v>
      </c>
      <c r="AF8" t="s">
        <v>74</v>
      </c>
      <c r="AG8" t="s">
        <v>74</v>
      </c>
      <c r="AH8" t="s">
        <v>74</v>
      </c>
      <c r="AI8" t="s">
        <v>74</v>
      </c>
      <c r="AJ8" t="s">
        <v>74</v>
      </c>
      <c r="AK8" t="s">
        <v>74</v>
      </c>
      <c r="AL8" t="s">
        <v>74</v>
      </c>
      <c r="AM8" t="s">
        <v>74</v>
      </c>
      <c r="AN8" t="s">
        <v>74</v>
      </c>
      <c r="AO8" t="s">
        <v>144</v>
      </c>
      <c r="AP8" t="s">
        <v>145</v>
      </c>
      <c r="AQ8" t="s">
        <v>74</v>
      </c>
      <c r="AR8" t="s">
        <v>74</v>
      </c>
      <c r="AS8" t="s">
        <v>74</v>
      </c>
      <c r="AT8" t="s">
        <v>136</v>
      </c>
      <c r="AU8">
        <v>2025</v>
      </c>
      <c r="AV8">
        <v>145</v>
      </c>
      <c r="AW8" t="s">
        <v>74</v>
      </c>
      <c r="AX8" t="s">
        <v>74</v>
      </c>
      <c r="AY8" t="s">
        <v>74</v>
      </c>
      <c r="AZ8" t="s">
        <v>74</v>
      </c>
      <c r="BA8" t="s">
        <v>74</v>
      </c>
      <c r="BB8" t="s">
        <v>74</v>
      </c>
      <c r="BC8" t="s">
        <v>74</v>
      </c>
      <c r="BD8">
        <v>111434</v>
      </c>
      <c r="BE8" t="s">
        <v>146</v>
      </c>
      <c r="BF8" t="str">
        <f>HYPERLINK("http://dx.doi.org/10.1016/j.nanoen.2025.111434","http://dx.doi.org/10.1016/j.nanoen.2025.111434")</f>
        <v>http://dx.doi.org/10.1016/j.nanoen.2025.111434</v>
      </c>
      <c r="BG8" t="s">
        <v>74</v>
      </c>
      <c r="BH8" t="s">
        <v>74</v>
      </c>
      <c r="BI8" t="s">
        <v>74</v>
      </c>
      <c r="BJ8" t="s">
        <v>74</v>
      </c>
      <c r="BK8" t="s">
        <v>74</v>
      </c>
      <c r="BL8" t="s">
        <v>74</v>
      </c>
      <c r="BM8" t="s">
        <v>74</v>
      </c>
      <c r="BN8" t="s">
        <v>74</v>
      </c>
      <c r="BO8" t="s">
        <v>74</v>
      </c>
      <c r="BP8" t="s">
        <v>74</v>
      </c>
      <c r="BQ8" t="s">
        <v>74</v>
      </c>
      <c r="BR8" t="s">
        <v>74</v>
      </c>
      <c r="BS8" t="s">
        <v>147</v>
      </c>
      <c r="BT8" t="str">
        <f>HYPERLINK("https%3A%2F%2Fwww.webofscience.com%2Fwos%2Fwoscc%2Ffull-record%2FWOS:001567489200001","View Full Record in Web of Science")</f>
        <v>View Full Record in Web of Science</v>
      </c>
    </row>
    <row r="9" spans="1:72" x14ac:dyDescent="0.2">
      <c r="A9" t="s">
        <v>72</v>
      </c>
      <c r="B9" t="s">
        <v>148</v>
      </c>
      <c r="C9" t="s">
        <v>74</v>
      </c>
      <c r="D9" t="s">
        <v>74</v>
      </c>
      <c r="E9" t="s">
        <v>74</v>
      </c>
      <c r="F9" t="s">
        <v>149</v>
      </c>
      <c r="G9" t="s">
        <v>74</v>
      </c>
      <c r="H9" t="s">
        <v>74</v>
      </c>
      <c r="I9" t="s">
        <v>150</v>
      </c>
      <c r="J9" t="s">
        <v>151</v>
      </c>
      <c r="K9" t="s">
        <v>74</v>
      </c>
      <c r="L9" t="s">
        <v>74</v>
      </c>
      <c r="M9" t="s">
        <v>74</v>
      </c>
      <c r="N9" t="s">
        <v>74</v>
      </c>
      <c r="O9" t="s">
        <v>74</v>
      </c>
      <c r="P9" t="s">
        <v>74</v>
      </c>
      <c r="Q9" t="s">
        <v>74</v>
      </c>
      <c r="R9" t="s">
        <v>74</v>
      </c>
      <c r="S9" t="s">
        <v>74</v>
      </c>
      <c r="T9" t="s">
        <v>74</v>
      </c>
      <c r="U9" t="s">
        <v>74</v>
      </c>
      <c r="V9" t="s">
        <v>152</v>
      </c>
      <c r="W9" t="s">
        <v>74</v>
      </c>
      <c r="X9" t="s">
        <v>74</v>
      </c>
      <c r="Y9" t="s">
        <v>74</v>
      </c>
      <c r="Z9" t="s">
        <v>74</v>
      </c>
      <c r="AA9" t="s">
        <v>153</v>
      </c>
      <c r="AB9" t="s">
        <v>74</v>
      </c>
      <c r="AC9" t="s">
        <v>74</v>
      </c>
      <c r="AD9" t="s">
        <v>74</v>
      </c>
      <c r="AE9" t="s">
        <v>74</v>
      </c>
      <c r="AF9" t="s">
        <v>74</v>
      </c>
      <c r="AG9" t="s">
        <v>74</v>
      </c>
      <c r="AH9" t="s">
        <v>74</v>
      </c>
      <c r="AI9" t="s">
        <v>74</v>
      </c>
      <c r="AJ9" t="s">
        <v>74</v>
      </c>
      <c r="AK9" t="s">
        <v>74</v>
      </c>
      <c r="AL9" t="s">
        <v>74</v>
      </c>
      <c r="AM9" t="s">
        <v>74</v>
      </c>
      <c r="AN9" t="s">
        <v>74</v>
      </c>
      <c r="AO9" t="s">
        <v>154</v>
      </c>
      <c r="AP9" t="s">
        <v>155</v>
      </c>
      <c r="AQ9" t="s">
        <v>74</v>
      </c>
      <c r="AR9" t="s">
        <v>74</v>
      </c>
      <c r="AS9" t="s">
        <v>74</v>
      </c>
      <c r="AT9" t="s">
        <v>156</v>
      </c>
      <c r="AU9">
        <v>2025</v>
      </c>
      <c r="AV9">
        <v>36</v>
      </c>
      <c r="AW9">
        <v>12</v>
      </c>
      <c r="AX9" t="s">
        <v>74</v>
      </c>
      <c r="AY9" t="s">
        <v>74</v>
      </c>
      <c r="AZ9" t="s">
        <v>74</v>
      </c>
      <c r="BA9" t="s">
        <v>74</v>
      </c>
      <c r="BB9" t="s">
        <v>74</v>
      </c>
      <c r="BC9" t="s">
        <v>74</v>
      </c>
      <c r="BD9">
        <v>111716</v>
      </c>
      <c r="BE9" t="s">
        <v>157</v>
      </c>
      <c r="BF9" t="str">
        <f>HYPERLINK("http://dx.doi.org/10.1016/j.cclet.2025.111716","http://dx.doi.org/10.1016/j.cclet.2025.111716")</f>
        <v>http://dx.doi.org/10.1016/j.cclet.2025.111716</v>
      </c>
      <c r="BG9" t="s">
        <v>74</v>
      </c>
      <c r="BH9" t="s">
        <v>74</v>
      </c>
      <c r="BI9" t="s">
        <v>74</v>
      </c>
      <c r="BJ9" t="s">
        <v>74</v>
      </c>
      <c r="BK9" t="s">
        <v>74</v>
      </c>
      <c r="BL9" t="s">
        <v>74</v>
      </c>
      <c r="BM9" t="s">
        <v>74</v>
      </c>
      <c r="BN9" t="s">
        <v>74</v>
      </c>
      <c r="BO9" t="s">
        <v>74</v>
      </c>
      <c r="BP9" t="s">
        <v>74</v>
      </c>
      <c r="BQ9" t="s">
        <v>74</v>
      </c>
      <c r="BR9" t="s">
        <v>74</v>
      </c>
      <c r="BS9" t="s">
        <v>158</v>
      </c>
      <c r="BT9" t="str">
        <f>HYPERLINK("https%3A%2F%2Fwww.webofscience.com%2Fwos%2Fwoscc%2Ffull-record%2FWOS:001584853600001","View Full Record in Web of Science")</f>
        <v>View Full Record in Web of Science</v>
      </c>
    </row>
    <row r="10" spans="1:72" x14ac:dyDescent="0.2">
      <c r="A10" t="s">
        <v>72</v>
      </c>
      <c r="B10" t="s">
        <v>159</v>
      </c>
      <c r="C10" t="s">
        <v>74</v>
      </c>
      <c r="D10" t="s">
        <v>74</v>
      </c>
      <c r="E10" t="s">
        <v>74</v>
      </c>
      <c r="F10" t="s">
        <v>160</v>
      </c>
      <c r="G10" t="s">
        <v>74</v>
      </c>
      <c r="H10" t="s">
        <v>74</v>
      </c>
      <c r="I10" t="s">
        <v>161</v>
      </c>
      <c r="J10" t="s">
        <v>162</v>
      </c>
      <c r="K10" t="s">
        <v>74</v>
      </c>
      <c r="L10" t="s">
        <v>74</v>
      </c>
      <c r="M10" t="s">
        <v>74</v>
      </c>
      <c r="N10" t="s">
        <v>74</v>
      </c>
      <c r="O10" t="s">
        <v>74</v>
      </c>
      <c r="P10" t="s">
        <v>74</v>
      </c>
      <c r="Q10" t="s">
        <v>74</v>
      </c>
      <c r="R10" t="s">
        <v>74</v>
      </c>
      <c r="S10" t="s">
        <v>74</v>
      </c>
      <c r="T10" t="s">
        <v>74</v>
      </c>
      <c r="U10" t="s">
        <v>74</v>
      </c>
      <c r="V10" t="s">
        <v>163</v>
      </c>
      <c r="W10" t="s">
        <v>74</v>
      </c>
      <c r="X10" t="s">
        <v>74</v>
      </c>
      <c r="Y10" t="s">
        <v>74</v>
      </c>
      <c r="Z10" t="s">
        <v>74</v>
      </c>
      <c r="AA10" t="s">
        <v>164</v>
      </c>
      <c r="AB10" t="s">
        <v>74</v>
      </c>
      <c r="AC10" t="s">
        <v>74</v>
      </c>
      <c r="AD10" t="s">
        <v>74</v>
      </c>
      <c r="AE10" t="s">
        <v>74</v>
      </c>
      <c r="AF10" t="s">
        <v>74</v>
      </c>
      <c r="AG10" t="s">
        <v>74</v>
      </c>
      <c r="AH10" t="s">
        <v>74</v>
      </c>
      <c r="AI10" t="s">
        <v>74</v>
      </c>
      <c r="AJ10" t="s">
        <v>74</v>
      </c>
      <c r="AK10" t="s">
        <v>74</v>
      </c>
      <c r="AL10" t="s">
        <v>74</v>
      </c>
      <c r="AM10" t="s">
        <v>74</v>
      </c>
      <c r="AN10" t="s">
        <v>74</v>
      </c>
      <c r="AO10" t="s">
        <v>165</v>
      </c>
      <c r="AP10" t="s">
        <v>74</v>
      </c>
      <c r="AQ10" t="s">
        <v>74</v>
      </c>
      <c r="AR10" t="s">
        <v>74</v>
      </c>
      <c r="AS10" t="s">
        <v>74</v>
      </c>
      <c r="AT10" t="s">
        <v>156</v>
      </c>
      <c r="AU10">
        <v>2025</v>
      </c>
      <c r="AV10">
        <v>41</v>
      </c>
      <c r="AW10">
        <v>12</v>
      </c>
      <c r="AX10" t="s">
        <v>74</v>
      </c>
      <c r="AY10" t="s">
        <v>74</v>
      </c>
      <c r="AZ10" t="s">
        <v>74</v>
      </c>
      <c r="BA10" t="s">
        <v>74</v>
      </c>
      <c r="BB10" t="s">
        <v>74</v>
      </c>
      <c r="BC10" t="s">
        <v>74</v>
      </c>
      <c r="BD10">
        <v>100176</v>
      </c>
      <c r="BE10" t="s">
        <v>166</v>
      </c>
      <c r="BF10" t="str">
        <f>HYPERLINK("http://dx.doi.org/10.1016/j.actphy.2025.100176","http://dx.doi.org/10.1016/j.actphy.2025.100176")</f>
        <v>http://dx.doi.org/10.1016/j.actphy.2025.100176</v>
      </c>
      <c r="BG10" t="s">
        <v>74</v>
      </c>
      <c r="BH10" t="s">
        <v>74</v>
      </c>
      <c r="BI10" t="s">
        <v>74</v>
      </c>
      <c r="BJ10" t="s">
        <v>74</v>
      </c>
      <c r="BK10" t="s">
        <v>74</v>
      </c>
      <c r="BL10" t="s">
        <v>74</v>
      </c>
      <c r="BM10" t="s">
        <v>74</v>
      </c>
      <c r="BN10" t="s">
        <v>74</v>
      </c>
      <c r="BO10" t="s">
        <v>74</v>
      </c>
      <c r="BP10" t="s">
        <v>74</v>
      </c>
      <c r="BQ10" t="s">
        <v>74</v>
      </c>
      <c r="BR10" t="s">
        <v>74</v>
      </c>
      <c r="BS10" t="s">
        <v>167</v>
      </c>
      <c r="BT10" t="str">
        <f>HYPERLINK("https%3A%2F%2Fwww.webofscience.com%2Fwos%2Fwoscc%2Ffull-record%2FWOS:001583855900001","View Full Record in Web of Science")</f>
        <v>View Full Record in Web of Science</v>
      </c>
    </row>
    <row r="11" spans="1:72" x14ac:dyDescent="0.2">
      <c r="A11" t="s">
        <v>72</v>
      </c>
      <c r="B11" t="s">
        <v>168</v>
      </c>
      <c r="C11" t="s">
        <v>74</v>
      </c>
      <c r="D11" t="s">
        <v>74</v>
      </c>
      <c r="E11" t="s">
        <v>74</v>
      </c>
      <c r="F11" t="s">
        <v>169</v>
      </c>
      <c r="G11" t="s">
        <v>74</v>
      </c>
      <c r="H11" t="s">
        <v>74</v>
      </c>
      <c r="I11" t="s">
        <v>170</v>
      </c>
      <c r="J11" t="s">
        <v>171</v>
      </c>
      <c r="K11" t="s">
        <v>74</v>
      </c>
      <c r="L11" t="s">
        <v>74</v>
      </c>
      <c r="M11" t="s">
        <v>74</v>
      </c>
      <c r="N11" t="s">
        <v>74</v>
      </c>
      <c r="O11" t="s">
        <v>74</v>
      </c>
      <c r="P11" t="s">
        <v>74</v>
      </c>
      <c r="Q11" t="s">
        <v>74</v>
      </c>
      <c r="R11" t="s">
        <v>74</v>
      </c>
      <c r="S11" t="s">
        <v>74</v>
      </c>
      <c r="T11" t="s">
        <v>74</v>
      </c>
      <c r="U11" t="s">
        <v>74</v>
      </c>
      <c r="V11" t="s">
        <v>172</v>
      </c>
      <c r="W11" t="s">
        <v>74</v>
      </c>
      <c r="X11" t="s">
        <v>74</v>
      </c>
      <c r="Y11" t="s">
        <v>74</v>
      </c>
      <c r="Z11" t="s">
        <v>74</v>
      </c>
      <c r="AA11" t="s">
        <v>173</v>
      </c>
      <c r="AB11" t="s">
        <v>174</v>
      </c>
      <c r="AC11" t="s">
        <v>74</v>
      </c>
      <c r="AD11" t="s">
        <v>74</v>
      </c>
      <c r="AE11" t="s">
        <v>74</v>
      </c>
      <c r="AF11" t="s">
        <v>74</v>
      </c>
      <c r="AG11" t="s">
        <v>74</v>
      </c>
      <c r="AH11" t="s">
        <v>74</v>
      </c>
      <c r="AI11" t="s">
        <v>74</v>
      </c>
      <c r="AJ11" t="s">
        <v>74</v>
      </c>
      <c r="AK11" t="s">
        <v>74</v>
      </c>
      <c r="AL11" t="s">
        <v>74</v>
      </c>
      <c r="AM11" t="s">
        <v>74</v>
      </c>
      <c r="AN11" t="s">
        <v>74</v>
      </c>
      <c r="AO11" t="s">
        <v>175</v>
      </c>
      <c r="AP11" t="s">
        <v>176</v>
      </c>
      <c r="AQ11" t="s">
        <v>74</v>
      </c>
      <c r="AR11" t="s">
        <v>74</v>
      </c>
      <c r="AS11" t="s">
        <v>74</v>
      </c>
      <c r="AT11" t="s">
        <v>177</v>
      </c>
      <c r="AU11">
        <v>2025</v>
      </c>
      <c r="AV11">
        <v>1344</v>
      </c>
      <c r="AW11" t="s">
        <v>74</v>
      </c>
      <c r="AX11" t="s">
        <v>74</v>
      </c>
      <c r="AY11" t="s">
        <v>74</v>
      </c>
      <c r="AZ11" t="s">
        <v>74</v>
      </c>
      <c r="BA11" t="s">
        <v>74</v>
      </c>
      <c r="BB11" t="s">
        <v>74</v>
      </c>
      <c r="BC11" t="s">
        <v>74</v>
      </c>
      <c r="BD11">
        <v>142980</v>
      </c>
      <c r="BE11" t="s">
        <v>178</v>
      </c>
      <c r="BF11" t="str">
        <f>HYPERLINK("http://dx.doi.org/10.1016/j.molstruc.2025.142980","http://dx.doi.org/10.1016/j.molstruc.2025.142980")</f>
        <v>http://dx.doi.org/10.1016/j.molstruc.2025.142980</v>
      </c>
      <c r="BG11" t="s">
        <v>74</v>
      </c>
      <c r="BH11" t="s">
        <v>74</v>
      </c>
      <c r="BI11" t="s">
        <v>74</v>
      </c>
      <c r="BJ11" t="s">
        <v>74</v>
      </c>
      <c r="BK11" t="s">
        <v>74</v>
      </c>
      <c r="BL11" t="s">
        <v>74</v>
      </c>
      <c r="BM11" t="s">
        <v>74</v>
      </c>
      <c r="BN11" t="s">
        <v>74</v>
      </c>
      <c r="BO11" t="s">
        <v>74</v>
      </c>
      <c r="BP11" t="s">
        <v>74</v>
      </c>
      <c r="BQ11" t="s">
        <v>74</v>
      </c>
      <c r="BR11" t="s">
        <v>74</v>
      </c>
      <c r="BS11" t="s">
        <v>179</v>
      </c>
      <c r="BT11" t="str">
        <f>HYPERLINK("https%3A%2F%2Fwww.webofscience.com%2Fwos%2Fwoscc%2Ffull-record%2FWOS:001515305000011","View Full Record in Web of Science")</f>
        <v>View Full Record in Web of Science</v>
      </c>
    </row>
    <row r="12" spans="1:72" x14ac:dyDescent="0.2">
      <c r="A12" t="s">
        <v>72</v>
      </c>
      <c r="B12" t="s">
        <v>180</v>
      </c>
      <c r="C12" t="s">
        <v>74</v>
      </c>
      <c r="D12" t="s">
        <v>74</v>
      </c>
      <c r="E12" t="s">
        <v>74</v>
      </c>
      <c r="F12" t="s">
        <v>181</v>
      </c>
      <c r="G12" t="s">
        <v>74</v>
      </c>
      <c r="H12" t="s">
        <v>74</v>
      </c>
      <c r="I12" t="s">
        <v>182</v>
      </c>
      <c r="J12" t="s">
        <v>77</v>
      </c>
      <c r="K12" t="s">
        <v>74</v>
      </c>
      <c r="L12" t="s">
        <v>74</v>
      </c>
      <c r="M12" t="s">
        <v>74</v>
      </c>
      <c r="N12" t="s">
        <v>74</v>
      </c>
      <c r="O12" t="s">
        <v>74</v>
      </c>
      <c r="P12" t="s">
        <v>74</v>
      </c>
      <c r="Q12" t="s">
        <v>74</v>
      </c>
      <c r="R12" t="s">
        <v>74</v>
      </c>
      <c r="S12" t="s">
        <v>74</v>
      </c>
      <c r="T12" t="s">
        <v>74</v>
      </c>
      <c r="U12" t="s">
        <v>74</v>
      </c>
      <c r="V12" t="s">
        <v>183</v>
      </c>
      <c r="W12" t="s">
        <v>74</v>
      </c>
      <c r="X12" t="s">
        <v>74</v>
      </c>
      <c r="Y12" t="s">
        <v>74</v>
      </c>
      <c r="Z12" t="s">
        <v>74</v>
      </c>
      <c r="AA12" t="s">
        <v>74</v>
      </c>
      <c r="AB12" t="s">
        <v>74</v>
      </c>
      <c r="AC12" t="s">
        <v>74</v>
      </c>
      <c r="AD12" t="s">
        <v>74</v>
      </c>
      <c r="AE12" t="s">
        <v>74</v>
      </c>
      <c r="AF12" t="s">
        <v>74</v>
      </c>
      <c r="AG12" t="s">
        <v>74</v>
      </c>
      <c r="AH12" t="s">
        <v>74</v>
      </c>
      <c r="AI12" t="s">
        <v>74</v>
      </c>
      <c r="AJ12" t="s">
        <v>74</v>
      </c>
      <c r="AK12" t="s">
        <v>74</v>
      </c>
      <c r="AL12" t="s">
        <v>74</v>
      </c>
      <c r="AM12" t="s">
        <v>74</v>
      </c>
      <c r="AN12" t="s">
        <v>74</v>
      </c>
      <c r="AO12" t="s">
        <v>80</v>
      </c>
      <c r="AP12" t="s">
        <v>81</v>
      </c>
      <c r="AQ12" t="s">
        <v>74</v>
      </c>
      <c r="AR12" t="s">
        <v>74</v>
      </c>
      <c r="AS12" t="s">
        <v>74</v>
      </c>
      <c r="AT12" t="s">
        <v>184</v>
      </c>
      <c r="AU12">
        <v>2025</v>
      </c>
      <c r="AV12">
        <v>242</v>
      </c>
      <c r="AW12" t="s">
        <v>74</v>
      </c>
      <c r="AX12" t="s">
        <v>74</v>
      </c>
      <c r="AY12" t="s">
        <v>74</v>
      </c>
      <c r="AZ12" t="s">
        <v>74</v>
      </c>
      <c r="BA12" t="s">
        <v>74</v>
      </c>
      <c r="BB12" t="s">
        <v>74</v>
      </c>
      <c r="BC12" t="s">
        <v>74</v>
      </c>
      <c r="BD12">
        <v>113002</v>
      </c>
      <c r="BE12" t="s">
        <v>185</v>
      </c>
      <c r="BF12" t="str">
        <f>HYPERLINK("http://dx.doi.org/10.1016/j.dyepig.2025.113002","http://dx.doi.org/10.1016/j.dyepig.2025.113002")</f>
        <v>http://dx.doi.org/10.1016/j.dyepig.2025.113002</v>
      </c>
      <c r="BG12" t="s">
        <v>74</v>
      </c>
      <c r="BH12" t="s">
        <v>74</v>
      </c>
      <c r="BI12" t="s">
        <v>74</v>
      </c>
      <c r="BJ12" t="s">
        <v>74</v>
      </c>
      <c r="BK12" t="s">
        <v>74</v>
      </c>
      <c r="BL12" t="s">
        <v>74</v>
      </c>
      <c r="BM12" t="s">
        <v>74</v>
      </c>
      <c r="BN12" t="s">
        <v>74</v>
      </c>
      <c r="BO12" t="s">
        <v>74</v>
      </c>
      <c r="BP12" t="s">
        <v>74</v>
      </c>
      <c r="BQ12" t="s">
        <v>74</v>
      </c>
      <c r="BR12" t="s">
        <v>74</v>
      </c>
      <c r="BS12" t="s">
        <v>186</v>
      </c>
      <c r="BT12" t="str">
        <f>HYPERLINK("https%3A%2F%2Fwww.webofscience.com%2Fwos%2Fwoscc%2Ffull-record%2FWOS:001531439800001","View Full Record in Web of Science")</f>
        <v>View Full Record in Web of Science</v>
      </c>
    </row>
    <row r="13" spans="1:72" x14ac:dyDescent="0.2">
      <c r="A13" t="s">
        <v>72</v>
      </c>
      <c r="B13" t="s">
        <v>187</v>
      </c>
      <c r="C13" t="s">
        <v>74</v>
      </c>
      <c r="D13" t="s">
        <v>74</v>
      </c>
      <c r="E13" t="s">
        <v>74</v>
      </c>
      <c r="F13" t="s">
        <v>188</v>
      </c>
      <c r="G13" t="s">
        <v>74</v>
      </c>
      <c r="H13" t="s">
        <v>74</v>
      </c>
      <c r="I13" t="s">
        <v>189</v>
      </c>
      <c r="J13" t="s">
        <v>190</v>
      </c>
      <c r="K13" t="s">
        <v>74</v>
      </c>
      <c r="L13" t="s">
        <v>74</v>
      </c>
      <c r="M13" t="s">
        <v>74</v>
      </c>
      <c r="N13" t="s">
        <v>74</v>
      </c>
      <c r="O13" t="s">
        <v>74</v>
      </c>
      <c r="P13" t="s">
        <v>74</v>
      </c>
      <c r="Q13" t="s">
        <v>74</v>
      </c>
      <c r="R13" t="s">
        <v>74</v>
      </c>
      <c r="S13" t="s">
        <v>74</v>
      </c>
      <c r="T13" t="s">
        <v>74</v>
      </c>
      <c r="U13" t="s">
        <v>74</v>
      </c>
      <c r="V13" t="s">
        <v>191</v>
      </c>
      <c r="W13" t="s">
        <v>74</v>
      </c>
      <c r="X13" t="s">
        <v>74</v>
      </c>
      <c r="Y13" t="s">
        <v>74</v>
      </c>
      <c r="Z13" t="s">
        <v>74</v>
      </c>
      <c r="AA13" t="s">
        <v>192</v>
      </c>
      <c r="AB13" t="s">
        <v>74</v>
      </c>
      <c r="AC13" t="s">
        <v>74</v>
      </c>
      <c r="AD13" t="s">
        <v>74</v>
      </c>
      <c r="AE13" t="s">
        <v>74</v>
      </c>
      <c r="AF13" t="s">
        <v>74</v>
      </c>
      <c r="AG13" t="s">
        <v>74</v>
      </c>
      <c r="AH13" t="s">
        <v>74</v>
      </c>
      <c r="AI13" t="s">
        <v>74</v>
      </c>
      <c r="AJ13" t="s">
        <v>74</v>
      </c>
      <c r="AK13" t="s">
        <v>74</v>
      </c>
      <c r="AL13" t="s">
        <v>74</v>
      </c>
      <c r="AM13" t="s">
        <v>74</v>
      </c>
      <c r="AN13" t="s">
        <v>74</v>
      </c>
      <c r="AO13" t="s">
        <v>193</v>
      </c>
      <c r="AP13" t="s">
        <v>194</v>
      </c>
      <c r="AQ13" t="s">
        <v>74</v>
      </c>
      <c r="AR13" t="s">
        <v>74</v>
      </c>
      <c r="AS13" t="s">
        <v>74</v>
      </c>
      <c r="AT13" t="s">
        <v>184</v>
      </c>
      <c r="AU13">
        <v>2025</v>
      </c>
      <c r="AV13">
        <v>216</v>
      </c>
      <c r="AW13" t="s">
        <v>74</v>
      </c>
      <c r="AX13" t="s">
        <v>74</v>
      </c>
      <c r="AY13" t="s">
        <v>74</v>
      </c>
      <c r="AZ13" t="s">
        <v>74</v>
      </c>
      <c r="BA13" t="s">
        <v>74</v>
      </c>
      <c r="BB13" t="s">
        <v>74</v>
      </c>
      <c r="BC13" t="s">
        <v>74</v>
      </c>
      <c r="BD13">
        <v>106411</v>
      </c>
      <c r="BE13" t="s">
        <v>195</v>
      </c>
      <c r="BF13" t="str">
        <f>HYPERLINK("http://dx.doi.org/10.1016/j.reactfunctpolym.2025.106411","http://dx.doi.org/10.1016/j.reactfunctpolym.2025.106411")</f>
        <v>http://dx.doi.org/10.1016/j.reactfunctpolym.2025.106411</v>
      </c>
      <c r="BG13" t="s">
        <v>74</v>
      </c>
      <c r="BH13" t="s">
        <v>74</v>
      </c>
      <c r="BI13" t="s">
        <v>74</v>
      </c>
      <c r="BJ13" t="s">
        <v>74</v>
      </c>
      <c r="BK13" t="s">
        <v>74</v>
      </c>
      <c r="BL13" t="s">
        <v>74</v>
      </c>
      <c r="BM13" t="s">
        <v>74</v>
      </c>
      <c r="BN13" t="s">
        <v>74</v>
      </c>
      <c r="BO13" t="s">
        <v>74</v>
      </c>
      <c r="BP13" t="s">
        <v>74</v>
      </c>
      <c r="BQ13" t="s">
        <v>74</v>
      </c>
      <c r="BR13" t="s">
        <v>74</v>
      </c>
      <c r="BS13" t="s">
        <v>196</v>
      </c>
      <c r="BT13" t="str">
        <f>HYPERLINK("https%3A%2F%2Fwww.webofscience.com%2Fwos%2Fwoscc%2Ffull-record%2FWOS:001553103400001","View Full Record in Web of Science")</f>
        <v>View Full Record in Web of Science</v>
      </c>
    </row>
    <row r="14" spans="1:72" x14ac:dyDescent="0.2">
      <c r="A14" t="s">
        <v>72</v>
      </c>
      <c r="B14" t="s">
        <v>197</v>
      </c>
      <c r="C14" t="s">
        <v>74</v>
      </c>
      <c r="D14" t="s">
        <v>74</v>
      </c>
      <c r="E14" t="s">
        <v>74</v>
      </c>
      <c r="F14" t="s">
        <v>198</v>
      </c>
      <c r="G14" t="s">
        <v>74</v>
      </c>
      <c r="H14" t="s">
        <v>74</v>
      </c>
      <c r="I14" t="s">
        <v>199</v>
      </c>
      <c r="J14" t="s">
        <v>77</v>
      </c>
      <c r="K14" t="s">
        <v>74</v>
      </c>
      <c r="L14" t="s">
        <v>74</v>
      </c>
      <c r="M14" t="s">
        <v>74</v>
      </c>
      <c r="N14" t="s">
        <v>74</v>
      </c>
      <c r="O14" t="s">
        <v>74</v>
      </c>
      <c r="P14" t="s">
        <v>74</v>
      </c>
      <c r="Q14" t="s">
        <v>74</v>
      </c>
      <c r="R14" t="s">
        <v>74</v>
      </c>
      <c r="S14" t="s">
        <v>74</v>
      </c>
      <c r="T14" t="s">
        <v>74</v>
      </c>
      <c r="U14" t="s">
        <v>74</v>
      </c>
      <c r="V14" t="s">
        <v>200</v>
      </c>
      <c r="W14" t="s">
        <v>74</v>
      </c>
      <c r="X14" t="s">
        <v>74</v>
      </c>
      <c r="Y14" t="s">
        <v>74</v>
      </c>
      <c r="Z14" t="s">
        <v>74</v>
      </c>
      <c r="AA14" t="s">
        <v>201</v>
      </c>
      <c r="AB14" t="s">
        <v>74</v>
      </c>
      <c r="AC14" t="s">
        <v>74</v>
      </c>
      <c r="AD14" t="s">
        <v>74</v>
      </c>
      <c r="AE14" t="s">
        <v>74</v>
      </c>
      <c r="AF14" t="s">
        <v>74</v>
      </c>
      <c r="AG14" t="s">
        <v>74</v>
      </c>
      <c r="AH14" t="s">
        <v>74</v>
      </c>
      <c r="AI14" t="s">
        <v>74</v>
      </c>
      <c r="AJ14" t="s">
        <v>74</v>
      </c>
      <c r="AK14" t="s">
        <v>74</v>
      </c>
      <c r="AL14" t="s">
        <v>74</v>
      </c>
      <c r="AM14" t="s">
        <v>74</v>
      </c>
      <c r="AN14" t="s">
        <v>74</v>
      </c>
      <c r="AO14" t="s">
        <v>80</v>
      </c>
      <c r="AP14" t="s">
        <v>81</v>
      </c>
      <c r="AQ14" t="s">
        <v>74</v>
      </c>
      <c r="AR14" t="s">
        <v>74</v>
      </c>
      <c r="AS14" t="s">
        <v>74</v>
      </c>
      <c r="AT14" t="s">
        <v>184</v>
      </c>
      <c r="AU14">
        <v>2025</v>
      </c>
      <c r="AV14">
        <v>242</v>
      </c>
      <c r="AW14" t="s">
        <v>74</v>
      </c>
      <c r="AX14" t="s">
        <v>74</v>
      </c>
      <c r="AY14" t="s">
        <v>74</v>
      </c>
      <c r="AZ14" t="s">
        <v>74</v>
      </c>
      <c r="BA14" t="s">
        <v>74</v>
      </c>
      <c r="BB14" t="s">
        <v>74</v>
      </c>
      <c r="BC14" t="s">
        <v>74</v>
      </c>
      <c r="BD14">
        <v>112954</v>
      </c>
      <c r="BE14" t="s">
        <v>202</v>
      </c>
      <c r="BF14" t="str">
        <f>HYPERLINK("http://dx.doi.org/10.1016/j.dyepig.2025.112954","http://dx.doi.org/10.1016/j.dyepig.2025.112954")</f>
        <v>http://dx.doi.org/10.1016/j.dyepig.2025.112954</v>
      </c>
      <c r="BG14" t="s">
        <v>74</v>
      </c>
      <c r="BH14" t="s">
        <v>74</v>
      </c>
      <c r="BI14" t="s">
        <v>74</v>
      </c>
      <c r="BJ14" t="s">
        <v>74</v>
      </c>
      <c r="BK14" t="s">
        <v>74</v>
      </c>
      <c r="BL14" t="s">
        <v>74</v>
      </c>
      <c r="BM14" t="s">
        <v>74</v>
      </c>
      <c r="BN14" t="s">
        <v>74</v>
      </c>
      <c r="BO14" t="s">
        <v>74</v>
      </c>
      <c r="BP14" t="s">
        <v>74</v>
      </c>
      <c r="BQ14" t="s">
        <v>74</v>
      </c>
      <c r="BR14" t="s">
        <v>74</v>
      </c>
      <c r="BS14" t="s">
        <v>203</v>
      </c>
      <c r="BT14" t="str">
        <f>HYPERLINK("https%3A%2F%2Fwww.webofscience.com%2Fwos%2Fwoscc%2Ffull-record%2FWOS:001511644500001","View Full Record in Web of Science")</f>
        <v>View Full Record in Web of Science</v>
      </c>
    </row>
    <row r="15" spans="1:72" x14ac:dyDescent="0.2">
      <c r="A15" t="s">
        <v>72</v>
      </c>
      <c r="B15" t="s">
        <v>204</v>
      </c>
      <c r="C15" t="s">
        <v>74</v>
      </c>
      <c r="D15" t="s">
        <v>74</v>
      </c>
      <c r="E15" t="s">
        <v>74</v>
      </c>
      <c r="F15" t="s">
        <v>205</v>
      </c>
      <c r="G15" t="s">
        <v>74</v>
      </c>
      <c r="H15" t="s">
        <v>74</v>
      </c>
      <c r="I15" t="s">
        <v>206</v>
      </c>
      <c r="J15" t="s">
        <v>77</v>
      </c>
      <c r="K15" t="s">
        <v>74</v>
      </c>
      <c r="L15" t="s">
        <v>74</v>
      </c>
      <c r="M15" t="s">
        <v>74</v>
      </c>
      <c r="N15" t="s">
        <v>74</v>
      </c>
      <c r="O15" t="s">
        <v>74</v>
      </c>
      <c r="P15" t="s">
        <v>74</v>
      </c>
      <c r="Q15" t="s">
        <v>74</v>
      </c>
      <c r="R15" t="s">
        <v>74</v>
      </c>
      <c r="S15" t="s">
        <v>74</v>
      </c>
      <c r="T15" t="s">
        <v>74</v>
      </c>
      <c r="U15" t="s">
        <v>74</v>
      </c>
      <c r="V15" t="s">
        <v>207</v>
      </c>
      <c r="W15" t="s">
        <v>74</v>
      </c>
      <c r="X15" t="s">
        <v>74</v>
      </c>
      <c r="Y15" t="s">
        <v>74</v>
      </c>
      <c r="Z15" t="s">
        <v>74</v>
      </c>
      <c r="AA15" t="s">
        <v>208</v>
      </c>
      <c r="AB15" t="s">
        <v>74</v>
      </c>
      <c r="AC15" t="s">
        <v>74</v>
      </c>
      <c r="AD15" t="s">
        <v>74</v>
      </c>
      <c r="AE15" t="s">
        <v>74</v>
      </c>
      <c r="AF15" t="s">
        <v>74</v>
      </c>
      <c r="AG15" t="s">
        <v>74</v>
      </c>
      <c r="AH15" t="s">
        <v>74</v>
      </c>
      <c r="AI15" t="s">
        <v>74</v>
      </c>
      <c r="AJ15" t="s">
        <v>74</v>
      </c>
      <c r="AK15" t="s">
        <v>74</v>
      </c>
      <c r="AL15" t="s">
        <v>74</v>
      </c>
      <c r="AM15" t="s">
        <v>74</v>
      </c>
      <c r="AN15" t="s">
        <v>74</v>
      </c>
      <c r="AO15" t="s">
        <v>80</v>
      </c>
      <c r="AP15" t="s">
        <v>81</v>
      </c>
      <c r="AQ15" t="s">
        <v>74</v>
      </c>
      <c r="AR15" t="s">
        <v>74</v>
      </c>
      <c r="AS15" t="s">
        <v>74</v>
      </c>
      <c r="AT15" t="s">
        <v>184</v>
      </c>
      <c r="AU15">
        <v>2025</v>
      </c>
      <c r="AV15">
        <v>242</v>
      </c>
      <c r="AW15" t="s">
        <v>74</v>
      </c>
      <c r="AX15" t="s">
        <v>74</v>
      </c>
      <c r="AY15" t="s">
        <v>74</v>
      </c>
      <c r="AZ15" t="s">
        <v>74</v>
      </c>
      <c r="BA15" t="s">
        <v>74</v>
      </c>
      <c r="BB15" t="s">
        <v>74</v>
      </c>
      <c r="BC15" t="s">
        <v>74</v>
      </c>
      <c r="BD15">
        <v>112930</v>
      </c>
      <c r="BE15" t="s">
        <v>209</v>
      </c>
      <c r="BF15" t="str">
        <f>HYPERLINK("http://dx.doi.org/10.1016/j.dyepig.2025.112930","http://dx.doi.org/10.1016/j.dyepig.2025.112930")</f>
        <v>http://dx.doi.org/10.1016/j.dyepig.2025.112930</v>
      </c>
      <c r="BG15" t="s">
        <v>74</v>
      </c>
      <c r="BH15" t="s">
        <v>74</v>
      </c>
      <c r="BI15" t="s">
        <v>74</v>
      </c>
      <c r="BJ15" t="s">
        <v>74</v>
      </c>
      <c r="BK15" t="s">
        <v>74</v>
      </c>
      <c r="BL15" t="s">
        <v>74</v>
      </c>
      <c r="BM15" t="s">
        <v>74</v>
      </c>
      <c r="BN15" t="s">
        <v>74</v>
      </c>
      <c r="BO15" t="s">
        <v>74</v>
      </c>
      <c r="BP15" t="s">
        <v>74</v>
      </c>
      <c r="BQ15" t="s">
        <v>74</v>
      </c>
      <c r="BR15" t="s">
        <v>74</v>
      </c>
      <c r="BS15" t="s">
        <v>210</v>
      </c>
      <c r="BT15" t="str">
        <f>HYPERLINK("https%3A%2F%2Fwww.webofscience.com%2Fwos%2Fwoscc%2Ffull-record%2FWOS:001508589400001","View Full Record in Web of Science")</f>
        <v>View Full Record in Web of Science</v>
      </c>
    </row>
    <row r="16" spans="1:72" x14ac:dyDescent="0.2">
      <c r="A16" t="s">
        <v>72</v>
      </c>
      <c r="B16" t="s">
        <v>211</v>
      </c>
      <c r="C16" t="s">
        <v>74</v>
      </c>
      <c r="D16" t="s">
        <v>74</v>
      </c>
      <c r="E16" t="s">
        <v>74</v>
      </c>
      <c r="F16" t="s">
        <v>212</v>
      </c>
      <c r="G16" t="s">
        <v>74</v>
      </c>
      <c r="H16" t="s">
        <v>74</v>
      </c>
      <c r="I16" t="s">
        <v>213</v>
      </c>
      <c r="J16" t="s">
        <v>214</v>
      </c>
      <c r="K16" t="s">
        <v>74</v>
      </c>
      <c r="L16" t="s">
        <v>74</v>
      </c>
      <c r="M16" t="s">
        <v>74</v>
      </c>
      <c r="N16" t="s">
        <v>74</v>
      </c>
      <c r="O16" t="s">
        <v>74</v>
      </c>
      <c r="P16" t="s">
        <v>74</v>
      </c>
      <c r="Q16" t="s">
        <v>74</v>
      </c>
      <c r="R16" t="s">
        <v>74</v>
      </c>
      <c r="S16" t="s">
        <v>74</v>
      </c>
      <c r="T16" t="s">
        <v>74</v>
      </c>
      <c r="U16" t="s">
        <v>74</v>
      </c>
      <c r="V16" t="s">
        <v>215</v>
      </c>
      <c r="W16" t="s">
        <v>74</v>
      </c>
      <c r="X16" t="s">
        <v>74</v>
      </c>
      <c r="Y16" t="s">
        <v>74</v>
      </c>
      <c r="Z16" t="s">
        <v>74</v>
      </c>
      <c r="AA16" t="s">
        <v>74</v>
      </c>
      <c r="AB16" t="s">
        <v>74</v>
      </c>
      <c r="AC16" t="s">
        <v>74</v>
      </c>
      <c r="AD16" t="s">
        <v>74</v>
      </c>
      <c r="AE16" t="s">
        <v>74</v>
      </c>
      <c r="AF16" t="s">
        <v>74</v>
      </c>
      <c r="AG16" t="s">
        <v>74</v>
      </c>
      <c r="AH16" t="s">
        <v>74</v>
      </c>
      <c r="AI16" t="s">
        <v>74</v>
      </c>
      <c r="AJ16" t="s">
        <v>74</v>
      </c>
      <c r="AK16" t="s">
        <v>74</v>
      </c>
      <c r="AL16" t="s">
        <v>74</v>
      </c>
      <c r="AM16" t="s">
        <v>74</v>
      </c>
      <c r="AN16" t="s">
        <v>74</v>
      </c>
      <c r="AO16" t="s">
        <v>74</v>
      </c>
      <c r="AP16" t="s">
        <v>216</v>
      </c>
      <c r="AQ16" t="s">
        <v>74</v>
      </c>
      <c r="AR16" t="s">
        <v>74</v>
      </c>
      <c r="AS16" t="s">
        <v>74</v>
      </c>
      <c r="AT16" t="s">
        <v>217</v>
      </c>
      <c r="AU16">
        <v>2025</v>
      </c>
      <c r="AV16" t="s">
        <v>74</v>
      </c>
      <c r="AW16" t="s">
        <v>74</v>
      </c>
      <c r="AX16" t="s">
        <v>74</v>
      </c>
      <c r="AY16" t="s">
        <v>74</v>
      </c>
      <c r="AZ16" t="s">
        <v>74</v>
      </c>
      <c r="BA16" t="s">
        <v>74</v>
      </c>
      <c r="BB16" t="s">
        <v>74</v>
      </c>
      <c r="BC16" t="s">
        <v>74</v>
      </c>
      <c r="BD16" t="s">
        <v>74</v>
      </c>
      <c r="BE16" t="s">
        <v>218</v>
      </c>
      <c r="BF16" t="str">
        <f>HYPERLINK("http://dx.doi.org/10.1002/anie.202514985","http://dx.doi.org/10.1002/anie.202514985")</f>
        <v>http://dx.doi.org/10.1002/anie.202514985</v>
      </c>
      <c r="BG16" t="s">
        <v>74</v>
      </c>
      <c r="BH16" t="s">
        <v>219</v>
      </c>
      <c r="BI16" t="s">
        <v>74</v>
      </c>
      <c r="BJ16" t="s">
        <v>74</v>
      </c>
      <c r="BK16" t="s">
        <v>74</v>
      </c>
      <c r="BL16" t="s">
        <v>74</v>
      </c>
      <c r="BM16" t="s">
        <v>74</v>
      </c>
      <c r="BN16">
        <v>41090207</v>
      </c>
      <c r="BO16" t="s">
        <v>74</v>
      </c>
      <c r="BP16" t="s">
        <v>74</v>
      </c>
      <c r="BQ16" t="s">
        <v>74</v>
      </c>
      <c r="BR16" t="s">
        <v>74</v>
      </c>
      <c r="BS16" t="s">
        <v>220</v>
      </c>
      <c r="BT16" t="str">
        <f>HYPERLINK("https%3A%2F%2Fwww.webofscience.com%2Fwos%2Fwoscc%2Ffull-record%2FWOS:001594422400001","View Full Record in Web of Science")</f>
        <v>View Full Record in Web of Science</v>
      </c>
    </row>
    <row r="17" spans="1:72" x14ac:dyDescent="0.2">
      <c r="A17" t="s">
        <v>72</v>
      </c>
      <c r="B17" t="s">
        <v>221</v>
      </c>
      <c r="C17" t="s">
        <v>74</v>
      </c>
      <c r="D17" t="s">
        <v>74</v>
      </c>
      <c r="E17" t="s">
        <v>74</v>
      </c>
      <c r="F17" t="s">
        <v>222</v>
      </c>
      <c r="G17" t="s">
        <v>74</v>
      </c>
      <c r="H17" t="s">
        <v>74</v>
      </c>
      <c r="I17" t="s">
        <v>223</v>
      </c>
      <c r="J17" t="s">
        <v>224</v>
      </c>
      <c r="K17" t="s">
        <v>74</v>
      </c>
      <c r="L17" t="s">
        <v>74</v>
      </c>
      <c r="M17" t="s">
        <v>74</v>
      </c>
      <c r="N17" t="s">
        <v>74</v>
      </c>
      <c r="O17" t="s">
        <v>74</v>
      </c>
      <c r="P17" t="s">
        <v>74</v>
      </c>
      <c r="Q17" t="s">
        <v>74</v>
      </c>
      <c r="R17" t="s">
        <v>74</v>
      </c>
      <c r="S17" t="s">
        <v>74</v>
      </c>
      <c r="T17" t="s">
        <v>74</v>
      </c>
      <c r="U17" t="s">
        <v>74</v>
      </c>
      <c r="V17" t="s">
        <v>225</v>
      </c>
      <c r="W17" t="s">
        <v>74</v>
      </c>
      <c r="X17" t="s">
        <v>74</v>
      </c>
      <c r="Y17" t="s">
        <v>74</v>
      </c>
      <c r="Z17" t="s">
        <v>74</v>
      </c>
      <c r="AA17" t="s">
        <v>74</v>
      </c>
      <c r="AB17" t="s">
        <v>74</v>
      </c>
      <c r="AC17" t="s">
        <v>74</v>
      </c>
      <c r="AD17" t="s">
        <v>74</v>
      </c>
      <c r="AE17" t="s">
        <v>74</v>
      </c>
      <c r="AF17" t="s">
        <v>74</v>
      </c>
      <c r="AG17" t="s">
        <v>74</v>
      </c>
      <c r="AH17" t="s">
        <v>74</v>
      </c>
      <c r="AI17" t="s">
        <v>74</v>
      </c>
      <c r="AJ17" t="s">
        <v>74</v>
      </c>
      <c r="AK17" t="s">
        <v>74</v>
      </c>
      <c r="AL17" t="s">
        <v>74</v>
      </c>
      <c r="AM17" t="s">
        <v>74</v>
      </c>
      <c r="AN17" t="s">
        <v>74</v>
      </c>
      <c r="AO17" t="s">
        <v>226</v>
      </c>
      <c r="AP17" t="s">
        <v>74</v>
      </c>
      <c r="AQ17" t="s">
        <v>74</v>
      </c>
      <c r="AR17" t="s">
        <v>74</v>
      </c>
      <c r="AS17" t="s">
        <v>74</v>
      </c>
      <c r="AT17" t="s">
        <v>227</v>
      </c>
      <c r="AU17">
        <v>2025</v>
      </c>
      <c r="AV17" t="s">
        <v>74</v>
      </c>
      <c r="AW17" t="s">
        <v>74</v>
      </c>
      <c r="AX17" t="s">
        <v>74</v>
      </c>
      <c r="AY17" t="s">
        <v>74</v>
      </c>
      <c r="AZ17" t="s">
        <v>74</v>
      </c>
      <c r="BA17" t="s">
        <v>74</v>
      </c>
      <c r="BB17" t="s">
        <v>74</v>
      </c>
      <c r="BC17" t="s">
        <v>74</v>
      </c>
      <c r="BD17" t="s">
        <v>74</v>
      </c>
      <c r="BE17" t="s">
        <v>228</v>
      </c>
      <c r="BF17" t="str">
        <f>HYPERLINK("http://dx.doi.org/10.1021/acsomega.5c07923","http://dx.doi.org/10.1021/acsomega.5c07923")</f>
        <v>http://dx.doi.org/10.1021/acsomega.5c07923</v>
      </c>
      <c r="BG17" t="s">
        <v>74</v>
      </c>
      <c r="BH17" t="s">
        <v>219</v>
      </c>
      <c r="BI17" t="s">
        <v>74</v>
      </c>
      <c r="BJ17" t="s">
        <v>74</v>
      </c>
      <c r="BK17" t="s">
        <v>74</v>
      </c>
      <c r="BL17" t="s">
        <v>74</v>
      </c>
      <c r="BM17" t="s">
        <v>74</v>
      </c>
      <c r="BN17" t="s">
        <v>74</v>
      </c>
      <c r="BO17" t="s">
        <v>74</v>
      </c>
      <c r="BP17" t="s">
        <v>74</v>
      </c>
      <c r="BQ17" t="s">
        <v>74</v>
      </c>
      <c r="BR17" t="s">
        <v>74</v>
      </c>
      <c r="BS17" t="s">
        <v>229</v>
      </c>
      <c r="BT17" t="str">
        <f>HYPERLINK("https%3A%2F%2Fwww.webofscience.com%2Fwos%2Fwoscc%2Ffull-record%2FWOS:001592211000001","View Full Record in Web of Science")</f>
        <v>View Full Record in Web of Science</v>
      </c>
    </row>
    <row r="18" spans="1:72" x14ac:dyDescent="0.2">
      <c r="A18" t="s">
        <v>72</v>
      </c>
      <c r="B18" t="s">
        <v>230</v>
      </c>
      <c r="C18" t="s">
        <v>74</v>
      </c>
      <c r="D18" t="s">
        <v>74</v>
      </c>
      <c r="E18" t="s">
        <v>74</v>
      </c>
      <c r="F18" t="s">
        <v>231</v>
      </c>
      <c r="G18" t="s">
        <v>74</v>
      </c>
      <c r="H18" t="s">
        <v>74</v>
      </c>
      <c r="I18" t="s">
        <v>232</v>
      </c>
      <c r="J18" t="s">
        <v>233</v>
      </c>
      <c r="K18" t="s">
        <v>74</v>
      </c>
      <c r="L18" t="s">
        <v>74</v>
      </c>
      <c r="M18" t="s">
        <v>74</v>
      </c>
      <c r="N18" t="s">
        <v>74</v>
      </c>
      <c r="O18" t="s">
        <v>74</v>
      </c>
      <c r="P18" t="s">
        <v>74</v>
      </c>
      <c r="Q18" t="s">
        <v>74</v>
      </c>
      <c r="R18" t="s">
        <v>74</v>
      </c>
      <c r="S18" t="s">
        <v>74</v>
      </c>
      <c r="T18" t="s">
        <v>74</v>
      </c>
      <c r="U18" t="s">
        <v>74</v>
      </c>
      <c r="V18" t="s">
        <v>234</v>
      </c>
      <c r="W18" t="s">
        <v>74</v>
      </c>
      <c r="X18" t="s">
        <v>74</v>
      </c>
      <c r="Y18" t="s">
        <v>74</v>
      </c>
      <c r="Z18" t="s">
        <v>74</v>
      </c>
      <c r="AA18" t="s">
        <v>74</v>
      </c>
      <c r="AB18" t="s">
        <v>74</v>
      </c>
      <c r="AC18" t="s">
        <v>74</v>
      </c>
      <c r="AD18" t="s">
        <v>74</v>
      </c>
      <c r="AE18" t="s">
        <v>74</v>
      </c>
      <c r="AF18" t="s">
        <v>74</v>
      </c>
      <c r="AG18" t="s">
        <v>74</v>
      </c>
      <c r="AH18" t="s">
        <v>74</v>
      </c>
      <c r="AI18" t="s">
        <v>74</v>
      </c>
      <c r="AJ18" t="s">
        <v>74</v>
      </c>
      <c r="AK18" t="s">
        <v>74</v>
      </c>
      <c r="AL18" t="s">
        <v>74</v>
      </c>
      <c r="AM18" t="s">
        <v>74</v>
      </c>
      <c r="AN18" t="s">
        <v>74</v>
      </c>
      <c r="AO18" t="s">
        <v>235</v>
      </c>
      <c r="AP18" t="s">
        <v>236</v>
      </c>
      <c r="AQ18" t="s">
        <v>74</v>
      </c>
      <c r="AR18" t="s">
        <v>74</v>
      </c>
      <c r="AS18" t="s">
        <v>74</v>
      </c>
      <c r="AT18" t="s">
        <v>237</v>
      </c>
      <c r="AU18">
        <v>2025</v>
      </c>
      <c r="AV18" t="s">
        <v>74</v>
      </c>
      <c r="AW18" t="s">
        <v>74</v>
      </c>
      <c r="AX18" t="s">
        <v>74</v>
      </c>
      <c r="AY18" t="s">
        <v>74</v>
      </c>
      <c r="AZ18" t="s">
        <v>74</v>
      </c>
      <c r="BA18" t="s">
        <v>74</v>
      </c>
      <c r="BB18" t="s">
        <v>74</v>
      </c>
      <c r="BC18" t="s">
        <v>74</v>
      </c>
      <c r="BD18" t="s">
        <v>74</v>
      </c>
      <c r="BE18" t="s">
        <v>238</v>
      </c>
      <c r="BF18" t="str">
        <f>HYPERLINK("http://dx.doi.org/10.1002/cctc.202500890","http://dx.doi.org/10.1002/cctc.202500890")</f>
        <v>http://dx.doi.org/10.1002/cctc.202500890</v>
      </c>
      <c r="BG18" t="s">
        <v>74</v>
      </c>
      <c r="BH18" t="s">
        <v>219</v>
      </c>
      <c r="BI18" t="s">
        <v>74</v>
      </c>
      <c r="BJ18" t="s">
        <v>74</v>
      </c>
      <c r="BK18" t="s">
        <v>74</v>
      </c>
      <c r="BL18" t="s">
        <v>74</v>
      </c>
      <c r="BM18" t="s">
        <v>74</v>
      </c>
      <c r="BN18" t="s">
        <v>74</v>
      </c>
      <c r="BO18" t="s">
        <v>74</v>
      </c>
      <c r="BP18" t="s">
        <v>74</v>
      </c>
      <c r="BQ18" t="s">
        <v>74</v>
      </c>
      <c r="BR18" t="s">
        <v>74</v>
      </c>
      <c r="BS18" t="s">
        <v>239</v>
      </c>
      <c r="BT18" t="str">
        <f>HYPERLINK("https%3A%2F%2Fwww.webofscience.com%2Fwos%2Fwoscc%2Ffull-record%2FWOS:001590881900001","View Full Record in Web of Science")</f>
        <v>View Full Record in Web of Science</v>
      </c>
    </row>
    <row r="19" spans="1:72" x14ac:dyDescent="0.2">
      <c r="A19" t="s">
        <v>72</v>
      </c>
      <c r="B19" t="s">
        <v>240</v>
      </c>
      <c r="C19" t="s">
        <v>74</v>
      </c>
      <c r="D19" t="s">
        <v>74</v>
      </c>
      <c r="E19" t="s">
        <v>74</v>
      </c>
      <c r="F19" t="s">
        <v>241</v>
      </c>
      <c r="G19" t="s">
        <v>74</v>
      </c>
      <c r="H19" t="s">
        <v>74</v>
      </c>
      <c r="I19" t="s">
        <v>242</v>
      </c>
      <c r="J19" t="s">
        <v>243</v>
      </c>
      <c r="K19" t="s">
        <v>74</v>
      </c>
      <c r="L19" t="s">
        <v>74</v>
      </c>
      <c r="M19" t="s">
        <v>74</v>
      </c>
      <c r="N19" t="s">
        <v>74</v>
      </c>
      <c r="O19" t="s">
        <v>74</v>
      </c>
      <c r="P19" t="s">
        <v>74</v>
      </c>
      <c r="Q19" t="s">
        <v>74</v>
      </c>
      <c r="R19" t="s">
        <v>74</v>
      </c>
      <c r="S19" t="s">
        <v>74</v>
      </c>
      <c r="T19" t="s">
        <v>74</v>
      </c>
      <c r="U19" t="s">
        <v>74</v>
      </c>
      <c r="V19" t="s">
        <v>244</v>
      </c>
      <c r="W19" t="s">
        <v>74</v>
      </c>
      <c r="X19" t="s">
        <v>74</v>
      </c>
      <c r="Y19" t="s">
        <v>74</v>
      </c>
      <c r="Z19" t="s">
        <v>74</v>
      </c>
      <c r="AA19" t="s">
        <v>245</v>
      </c>
      <c r="AB19" t="s">
        <v>74</v>
      </c>
      <c r="AC19" t="s">
        <v>74</v>
      </c>
      <c r="AD19" t="s">
        <v>74</v>
      </c>
      <c r="AE19" t="s">
        <v>74</v>
      </c>
      <c r="AF19" t="s">
        <v>74</v>
      </c>
      <c r="AG19" t="s">
        <v>74</v>
      </c>
      <c r="AH19" t="s">
        <v>74</v>
      </c>
      <c r="AI19" t="s">
        <v>74</v>
      </c>
      <c r="AJ19" t="s">
        <v>74</v>
      </c>
      <c r="AK19" t="s">
        <v>74</v>
      </c>
      <c r="AL19" t="s">
        <v>74</v>
      </c>
      <c r="AM19" t="s">
        <v>74</v>
      </c>
      <c r="AN19" t="s">
        <v>74</v>
      </c>
      <c r="AO19" t="s">
        <v>246</v>
      </c>
      <c r="AP19" t="s">
        <v>247</v>
      </c>
      <c r="AQ19" t="s">
        <v>74</v>
      </c>
      <c r="AR19" t="s">
        <v>74</v>
      </c>
      <c r="AS19" t="s">
        <v>74</v>
      </c>
      <c r="AT19" t="s">
        <v>237</v>
      </c>
      <c r="AU19">
        <v>2025</v>
      </c>
      <c r="AV19" t="s">
        <v>74</v>
      </c>
      <c r="AW19" t="s">
        <v>74</v>
      </c>
      <c r="AX19" t="s">
        <v>74</v>
      </c>
      <c r="AY19" t="s">
        <v>74</v>
      </c>
      <c r="AZ19" t="s">
        <v>74</v>
      </c>
      <c r="BA19" t="s">
        <v>74</v>
      </c>
      <c r="BB19" t="s">
        <v>74</v>
      </c>
      <c r="BC19" t="s">
        <v>74</v>
      </c>
      <c r="BD19" t="s">
        <v>74</v>
      </c>
      <c r="BE19" t="s">
        <v>248</v>
      </c>
      <c r="BF19" t="str">
        <f>HYPERLINK("http://dx.doi.org/10.1002/cjoc.70316","http://dx.doi.org/10.1002/cjoc.70316")</f>
        <v>http://dx.doi.org/10.1002/cjoc.70316</v>
      </c>
      <c r="BG19" t="s">
        <v>74</v>
      </c>
      <c r="BH19" t="s">
        <v>219</v>
      </c>
      <c r="BI19" t="s">
        <v>74</v>
      </c>
      <c r="BJ19" t="s">
        <v>74</v>
      </c>
      <c r="BK19" t="s">
        <v>74</v>
      </c>
      <c r="BL19" t="s">
        <v>74</v>
      </c>
      <c r="BM19" t="s">
        <v>74</v>
      </c>
      <c r="BN19" t="s">
        <v>74</v>
      </c>
      <c r="BO19" t="s">
        <v>74</v>
      </c>
      <c r="BP19" t="s">
        <v>74</v>
      </c>
      <c r="BQ19" t="s">
        <v>74</v>
      </c>
      <c r="BR19" t="s">
        <v>74</v>
      </c>
      <c r="BS19" t="s">
        <v>249</v>
      </c>
      <c r="BT19" t="str">
        <f>HYPERLINK("https%3A%2F%2Fwww.webofscience.com%2Fwos%2Fwoscc%2Ffull-record%2FWOS:001590826700001","View Full Record in Web of Science")</f>
        <v>View Full Record in Web of Science</v>
      </c>
    </row>
    <row r="20" spans="1:72" x14ac:dyDescent="0.2">
      <c r="A20" t="s">
        <v>72</v>
      </c>
      <c r="B20" t="s">
        <v>250</v>
      </c>
      <c r="C20" t="s">
        <v>74</v>
      </c>
      <c r="D20" t="s">
        <v>74</v>
      </c>
      <c r="E20" t="s">
        <v>74</v>
      </c>
      <c r="F20" t="s">
        <v>251</v>
      </c>
      <c r="G20" t="s">
        <v>74</v>
      </c>
      <c r="H20" t="s">
        <v>74</v>
      </c>
      <c r="I20" t="s">
        <v>252</v>
      </c>
      <c r="J20" t="s">
        <v>253</v>
      </c>
      <c r="K20" t="s">
        <v>74</v>
      </c>
      <c r="L20" t="s">
        <v>74</v>
      </c>
      <c r="M20" t="s">
        <v>74</v>
      </c>
      <c r="N20" t="s">
        <v>74</v>
      </c>
      <c r="O20" t="s">
        <v>74</v>
      </c>
      <c r="P20" t="s">
        <v>74</v>
      </c>
      <c r="Q20" t="s">
        <v>74</v>
      </c>
      <c r="R20" t="s">
        <v>74</v>
      </c>
      <c r="S20" t="s">
        <v>74</v>
      </c>
      <c r="T20" t="s">
        <v>74</v>
      </c>
      <c r="U20" t="s">
        <v>74</v>
      </c>
      <c r="V20" t="s">
        <v>254</v>
      </c>
      <c r="W20" t="s">
        <v>74</v>
      </c>
      <c r="X20" t="s">
        <v>74</v>
      </c>
      <c r="Y20" t="s">
        <v>74</v>
      </c>
      <c r="Z20" t="s">
        <v>74</v>
      </c>
      <c r="AA20" t="s">
        <v>255</v>
      </c>
      <c r="AB20" t="s">
        <v>74</v>
      </c>
      <c r="AC20" t="s">
        <v>74</v>
      </c>
      <c r="AD20" t="s">
        <v>74</v>
      </c>
      <c r="AE20" t="s">
        <v>74</v>
      </c>
      <c r="AF20" t="s">
        <v>74</v>
      </c>
      <c r="AG20" t="s">
        <v>74</v>
      </c>
      <c r="AH20" t="s">
        <v>74</v>
      </c>
      <c r="AI20" t="s">
        <v>74</v>
      </c>
      <c r="AJ20" t="s">
        <v>74</v>
      </c>
      <c r="AK20" t="s">
        <v>74</v>
      </c>
      <c r="AL20" t="s">
        <v>74</v>
      </c>
      <c r="AM20" t="s">
        <v>74</v>
      </c>
      <c r="AN20" t="s">
        <v>74</v>
      </c>
      <c r="AO20" t="s">
        <v>256</v>
      </c>
      <c r="AP20" t="s">
        <v>257</v>
      </c>
      <c r="AQ20" t="s">
        <v>74</v>
      </c>
      <c r="AR20" t="s">
        <v>74</v>
      </c>
      <c r="AS20" t="s">
        <v>74</v>
      </c>
      <c r="AT20" t="s">
        <v>258</v>
      </c>
      <c r="AU20">
        <v>2025</v>
      </c>
      <c r="AV20" t="s">
        <v>74</v>
      </c>
      <c r="AW20" t="s">
        <v>74</v>
      </c>
      <c r="AX20" t="s">
        <v>74</v>
      </c>
      <c r="AY20" t="s">
        <v>74</v>
      </c>
      <c r="AZ20" t="s">
        <v>74</v>
      </c>
      <c r="BA20" t="s">
        <v>74</v>
      </c>
      <c r="BB20" t="s">
        <v>74</v>
      </c>
      <c r="BC20" t="s">
        <v>74</v>
      </c>
      <c r="BD20" t="s">
        <v>74</v>
      </c>
      <c r="BE20" t="s">
        <v>259</v>
      </c>
      <c r="BF20" t="str">
        <f>HYPERLINK("http://dx.doi.org/10.1021/acs.langmuir.5c02887","http://dx.doi.org/10.1021/acs.langmuir.5c02887")</f>
        <v>http://dx.doi.org/10.1021/acs.langmuir.5c02887</v>
      </c>
      <c r="BG20" t="s">
        <v>74</v>
      </c>
      <c r="BH20" t="s">
        <v>219</v>
      </c>
      <c r="BI20" t="s">
        <v>74</v>
      </c>
      <c r="BJ20" t="s">
        <v>74</v>
      </c>
      <c r="BK20" t="s">
        <v>74</v>
      </c>
      <c r="BL20" t="s">
        <v>74</v>
      </c>
      <c r="BM20" t="s">
        <v>74</v>
      </c>
      <c r="BN20">
        <v>41058542</v>
      </c>
      <c r="BO20" t="s">
        <v>74</v>
      </c>
      <c r="BP20" t="s">
        <v>74</v>
      </c>
      <c r="BQ20" t="s">
        <v>74</v>
      </c>
      <c r="BR20" t="s">
        <v>74</v>
      </c>
      <c r="BS20" t="s">
        <v>260</v>
      </c>
      <c r="BT20" t="str">
        <f>HYPERLINK("https%3A%2F%2Fwww.webofscience.com%2Fwos%2Fwoscc%2Ffull-record%2FWOS:001589652700001","View Full Record in Web of Science")</f>
        <v>View Full Record in Web of Science</v>
      </c>
    </row>
    <row r="21" spans="1:72" x14ac:dyDescent="0.2">
      <c r="A21" t="s">
        <v>72</v>
      </c>
      <c r="B21" t="s">
        <v>261</v>
      </c>
      <c r="C21" t="s">
        <v>74</v>
      </c>
      <c r="D21" t="s">
        <v>74</v>
      </c>
      <c r="E21" t="s">
        <v>74</v>
      </c>
      <c r="F21" t="s">
        <v>262</v>
      </c>
      <c r="G21" t="s">
        <v>74</v>
      </c>
      <c r="H21" t="s">
        <v>74</v>
      </c>
      <c r="I21" t="s">
        <v>263</v>
      </c>
      <c r="J21" t="s">
        <v>264</v>
      </c>
      <c r="K21" t="s">
        <v>74</v>
      </c>
      <c r="L21" t="s">
        <v>74</v>
      </c>
      <c r="M21" t="s">
        <v>74</v>
      </c>
      <c r="N21" t="s">
        <v>74</v>
      </c>
      <c r="O21" t="s">
        <v>74</v>
      </c>
      <c r="P21" t="s">
        <v>74</v>
      </c>
      <c r="Q21" t="s">
        <v>74</v>
      </c>
      <c r="R21" t="s">
        <v>74</v>
      </c>
      <c r="S21" t="s">
        <v>74</v>
      </c>
      <c r="T21" t="s">
        <v>74</v>
      </c>
      <c r="U21" t="s">
        <v>74</v>
      </c>
      <c r="V21" t="s">
        <v>265</v>
      </c>
      <c r="W21" t="s">
        <v>74</v>
      </c>
      <c r="X21" t="s">
        <v>74</v>
      </c>
      <c r="Y21" t="s">
        <v>74</v>
      </c>
      <c r="Z21" t="s">
        <v>74</v>
      </c>
      <c r="AA21" t="s">
        <v>266</v>
      </c>
      <c r="AB21" t="s">
        <v>74</v>
      </c>
      <c r="AC21" t="s">
        <v>74</v>
      </c>
      <c r="AD21" t="s">
        <v>74</v>
      </c>
      <c r="AE21" t="s">
        <v>74</v>
      </c>
      <c r="AF21" t="s">
        <v>74</v>
      </c>
      <c r="AG21" t="s">
        <v>74</v>
      </c>
      <c r="AH21" t="s">
        <v>74</v>
      </c>
      <c r="AI21" t="s">
        <v>74</v>
      </c>
      <c r="AJ21" t="s">
        <v>74</v>
      </c>
      <c r="AK21" t="s">
        <v>74</v>
      </c>
      <c r="AL21" t="s">
        <v>74</v>
      </c>
      <c r="AM21" t="s">
        <v>74</v>
      </c>
      <c r="AN21" t="s">
        <v>74</v>
      </c>
      <c r="AO21" t="s">
        <v>267</v>
      </c>
      <c r="AP21" t="s">
        <v>268</v>
      </c>
      <c r="AQ21" t="s">
        <v>74</v>
      </c>
      <c r="AR21" t="s">
        <v>74</v>
      </c>
      <c r="AS21" t="s">
        <v>74</v>
      </c>
      <c r="AT21" t="s">
        <v>258</v>
      </c>
      <c r="AU21">
        <v>2025</v>
      </c>
      <c r="AV21" t="s">
        <v>74</v>
      </c>
      <c r="AW21" t="s">
        <v>74</v>
      </c>
      <c r="AX21" t="s">
        <v>74</v>
      </c>
      <c r="AY21" t="s">
        <v>74</v>
      </c>
      <c r="AZ21" t="s">
        <v>74</v>
      </c>
      <c r="BA21" t="s">
        <v>74</v>
      </c>
      <c r="BB21" t="s">
        <v>74</v>
      </c>
      <c r="BC21" t="s">
        <v>74</v>
      </c>
      <c r="BD21" t="s">
        <v>74</v>
      </c>
      <c r="BE21" t="s">
        <v>269</v>
      </c>
      <c r="BF21" t="str">
        <f>HYPERLINK("http://dx.doi.org/10.1021/acs.macromol.5c02191","http://dx.doi.org/10.1021/acs.macromol.5c02191")</f>
        <v>http://dx.doi.org/10.1021/acs.macromol.5c02191</v>
      </c>
      <c r="BG21" t="s">
        <v>74</v>
      </c>
      <c r="BH21" t="s">
        <v>219</v>
      </c>
      <c r="BI21" t="s">
        <v>74</v>
      </c>
      <c r="BJ21" t="s">
        <v>74</v>
      </c>
      <c r="BK21" t="s">
        <v>74</v>
      </c>
      <c r="BL21" t="s">
        <v>74</v>
      </c>
      <c r="BM21" t="s">
        <v>74</v>
      </c>
      <c r="BN21" t="s">
        <v>74</v>
      </c>
      <c r="BO21" t="s">
        <v>74</v>
      </c>
      <c r="BP21" t="s">
        <v>74</v>
      </c>
      <c r="BQ21" t="s">
        <v>74</v>
      </c>
      <c r="BR21" t="s">
        <v>74</v>
      </c>
      <c r="BS21" t="s">
        <v>270</v>
      </c>
      <c r="BT21" t="str">
        <f>HYPERLINK("https%3A%2F%2Fwww.webofscience.com%2Fwos%2Fwoscc%2Ffull-record%2FWOS:001589689000001","View Full Record in Web of Science")</f>
        <v>View Full Record in Web of Science</v>
      </c>
    </row>
    <row r="22" spans="1:72" x14ac:dyDescent="0.2">
      <c r="A22" t="s">
        <v>72</v>
      </c>
      <c r="B22" t="s">
        <v>271</v>
      </c>
      <c r="C22" t="s">
        <v>74</v>
      </c>
      <c r="D22" t="s">
        <v>74</v>
      </c>
      <c r="E22" t="s">
        <v>74</v>
      </c>
      <c r="F22" t="s">
        <v>272</v>
      </c>
      <c r="G22" t="s">
        <v>74</v>
      </c>
      <c r="H22" t="s">
        <v>74</v>
      </c>
      <c r="I22" t="s">
        <v>273</v>
      </c>
      <c r="J22" t="s">
        <v>274</v>
      </c>
      <c r="K22" t="s">
        <v>74</v>
      </c>
      <c r="L22" t="s">
        <v>74</v>
      </c>
      <c r="M22" t="s">
        <v>74</v>
      </c>
      <c r="N22" t="s">
        <v>74</v>
      </c>
      <c r="O22" t="s">
        <v>74</v>
      </c>
      <c r="P22" t="s">
        <v>74</v>
      </c>
      <c r="Q22" t="s">
        <v>74</v>
      </c>
      <c r="R22" t="s">
        <v>74</v>
      </c>
      <c r="S22" t="s">
        <v>74</v>
      </c>
      <c r="T22" t="s">
        <v>74</v>
      </c>
      <c r="U22" t="s">
        <v>74</v>
      </c>
      <c r="V22" t="s">
        <v>275</v>
      </c>
      <c r="W22" t="s">
        <v>74</v>
      </c>
      <c r="X22" t="s">
        <v>74</v>
      </c>
      <c r="Y22" t="s">
        <v>74</v>
      </c>
      <c r="Z22" t="s">
        <v>74</v>
      </c>
      <c r="AA22" t="s">
        <v>276</v>
      </c>
      <c r="AB22" t="s">
        <v>74</v>
      </c>
      <c r="AC22" t="s">
        <v>74</v>
      </c>
      <c r="AD22" t="s">
        <v>74</v>
      </c>
      <c r="AE22" t="s">
        <v>74</v>
      </c>
      <c r="AF22" t="s">
        <v>74</v>
      </c>
      <c r="AG22" t="s">
        <v>74</v>
      </c>
      <c r="AH22" t="s">
        <v>74</v>
      </c>
      <c r="AI22" t="s">
        <v>74</v>
      </c>
      <c r="AJ22" t="s">
        <v>74</v>
      </c>
      <c r="AK22" t="s">
        <v>74</v>
      </c>
      <c r="AL22" t="s">
        <v>74</v>
      </c>
      <c r="AM22" t="s">
        <v>74</v>
      </c>
      <c r="AN22" t="s">
        <v>74</v>
      </c>
      <c r="AO22" t="s">
        <v>277</v>
      </c>
      <c r="AP22" t="s">
        <v>278</v>
      </c>
      <c r="AQ22" t="s">
        <v>74</v>
      </c>
      <c r="AR22" t="s">
        <v>74</v>
      </c>
      <c r="AS22" t="s">
        <v>74</v>
      </c>
      <c r="AT22" t="s">
        <v>258</v>
      </c>
      <c r="AU22">
        <v>2025</v>
      </c>
      <c r="AV22" t="s">
        <v>74</v>
      </c>
      <c r="AW22" t="s">
        <v>74</v>
      </c>
      <c r="AX22" t="s">
        <v>74</v>
      </c>
      <c r="AY22" t="s">
        <v>74</v>
      </c>
      <c r="AZ22" t="s">
        <v>74</v>
      </c>
      <c r="BA22" t="s">
        <v>74</v>
      </c>
      <c r="BB22" t="s">
        <v>74</v>
      </c>
      <c r="BC22" t="s">
        <v>74</v>
      </c>
      <c r="BD22" t="s">
        <v>74</v>
      </c>
      <c r="BE22" t="s">
        <v>279</v>
      </c>
      <c r="BF22" t="str">
        <f>HYPERLINK("http://dx.doi.org/10.1021/acs.jafc.5c08401","http://dx.doi.org/10.1021/acs.jafc.5c08401")</f>
        <v>http://dx.doi.org/10.1021/acs.jafc.5c08401</v>
      </c>
      <c r="BG22" t="s">
        <v>74</v>
      </c>
      <c r="BH22" t="s">
        <v>219</v>
      </c>
      <c r="BI22" t="s">
        <v>74</v>
      </c>
      <c r="BJ22" t="s">
        <v>74</v>
      </c>
      <c r="BK22" t="s">
        <v>74</v>
      </c>
      <c r="BL22" t="s">
        <v>74</v>
      </c>
      <c r="BM22" t="s">
        <v>74</v>
      </c>
      <c r="BN22">
        <v>41060079</v>
      </c>
      <c r="BO22" t="s">
        <v>74</v>
      </c>
      <c r="BP22" t="s">
        <v>74</v>
      </c>
      <c r="BQ22" t="s">
        <v>74</v>
      </c>
      <c r="BR22" t="s">
        <v>74</v>
      </c>
      <c r="BS22" t="s">
        <v>280</v>
      </c>
      <c r="BT22" t="str">
        <f>HYPERLINK("https%3A%2F%2Fwww.webofscience.com%2Fwos%2Fwoscc%2Ffull-record%2FWOS:001589707600001","View Full Record in Web of Science")</f>
        <v>View Full Record in Web of Science</v>
      </c>
    </row>
    <row r="23" spans="1:72" x14ac:dyDescent="0.2">
      <c r="A23" t="s">
        <v>72</v>
      </c>
      <c r="B23" t="s">
        <v>281</v>
      </c>
      <c r="C23" t="s">
        <v>74</v>
      </c>
      <c r="D23" t="s">
        <v>74</v>
      </c>
      <c r="E23" t="s">
        <v>74</v>
      </c>
      <c r="F23" t="s">
        <v>282</v>
      </c>
      <c r="G23" t="s">
        <v>74</v>
      </c>
      <c r="H23" t="s">
        <v>74</v>
      </c>
      <c r="I23" t="s">
        <v>283</v>
      </c>
      <c r="J23" t="s">
        <v>284</v>
      </c>
      <c r="K23" t="s">
        <v>74</v>
      </c>
      <c r="L23" t="s">
        <v>74</v>
      </c>
      <c r="M23" t="s">
        <v>74</v>
      </c>
      <c r="N23" t="s">
        <v>74</v>
      </c>
      <c r="O23" t="s">
        <v>74</v>
      </c>
      <c r="P23" t="s">
        <v>74</v>
      </c>
      <c r="Q23" t="s">
        <v>74</v>
      </c>
      <c r="R23" t="s">
        <v>74</v>
      </c>
      <c r="S23" t="s">
        <v>74</v>
      </c>
      <c r="T23" t="s">
        <v>74</v>
      </c>
      <c r="U23" t="s">
        <v>74</v>
      </c>
      <c r="V23" t="s">
        <v>285</v>
      </c>
      <c r="W23" t="s">
        <v>74</v>
      </c>
      <c r="X23" t="s">
        <v>74</v>
      </c>
      <c r="Y23" t="s">
        <v>74</v>
      </c>
      <c r="Z23" t="s">
        <v>74</v>
      </c>
      <c r="AA23" t="s">
        <v>74</v>
      </c>
      <c r="AB23" t="s">
        <v>74</v>
      </c>
      <c r="AC23" t="s">
        <v>74</v>
      </c>
      <c r="AD23" t="s">
        <v>74</v>
      </c>
      <c r="AE23" t="s">
        <v>74</v>
      </c>
      <c r="AF23" t="s">
        <v>74</v>
      </c>
      <c r="AG23" t="s">
        <v>74</v>
      </c>
      <c r="AH23" t="s">
        <v>74</v>
      </c>
      <c r="AI23" t="s">
        <v>74</v>
      </c>
      <c r="AJ23" t="s">
        <v>74</v>
      </c>
      <c r="AK23" t="s">
        <v>74</v>
      </c>
      <c r="AL23" t="s">
        <v>74</v>
      </c>
      <c r="AM23" t="s">
        <v>74</v>
      </c>
      <c r="AN23" t="s">
        <v>74</v>
      </c>
      <c r="AO23" t="s">
        <v>74</v>
      </c>
      <c r="AP23" t="s">
        <v>286</v>
      </c>
      <c r="AQ23" t="s">
        <v>74</v>
      </c>
      <c r="AR23" t="s">
        <v>74</v>
      </c>
      <c r="AS23" t="s">
        <v>74</v>
      </c>
      <c r="AT23" t="s">
        <v>287</v>
      </c>
      <c r="AU23">
        <v>2025</v>
      </c>
      <c r="AV23">
        <v>25</v>
      </c>
      <c r="AW23">
        <v>19</v>
      </c>
      <c r="AX23" t="s">
        <v>74</v>
      </c>
      <c r="AY23" t="s">
        <v>74</v>
      </c>
      <c r="AZ23" t="s">
        <v>74</v>
      </c>
      <c r="BA23" t="s">
        <v>74</v>
      </c>
      <c r="BB23" t="s">
        <v>74</v>
      </c>
      <c r="BC23" t="s">
        <v>74</v>
      </c>
      <c r="BD23">
        <v>6190</v>
      </c>
      <c r="BE23" t="s">
        <v>288</v>
      </c>
      <c r="BF23" t="str">
        <f>HYPERLINK("http://dx.doi.org/10.3390/s25196190","http://dx.doi.org/10.3390/s25196190")</f>
        <v>http://dx.doi.org/10.3390/s25196190</v>
      </c>
      <c r="BG23" t="s">
        <v>74</v>
      </c>
      <c r="BH23" t="s">
        <v>74</v>
      </c>
      <c r="BI23" t="s">
        <v>74</v>
      </c>
      <c r="BJ23" t="s">
        <v>74</v>
      </c>
      <c r="BK23" t="s">
        <v>74</v>
      </c>
      <c r="BL23" t="s">
        <v>74</v>
      </c>
      <c r="BM23" t="s">
        <v>74</v>
      </c>
      <c r="BN23">
        <v>41095012</v>
      </c>
      <c r="BO23" t="s">
        <v>74</v>
      </c>
      <c r="BP23" t="s">
        <v>74</v>
      </c>
      <c r="BQ23" t="s">
        <v>74</v>
      </c>
      <c r="BR23" t="s">
        <v>74</v>
      </c>
      <c r="BS23" t="s">
        <v>289</v>
      </c>
      <c r="BT23" t="str">
        <f>HYPERLINK("https%3A%2F%2Fwww.webofscience.com%2Fwos%2Fwoscc%2Ffull-record%2FWOS:001593925400001","View Full Record in Web of Science")</f>
        <v>View Full Record in Web of Science</v>
      </c>
    </row>
    <row r="24" spans="1:72" x14ac:dyDescent="0.2">
      <c r="A24" t="s">
        <v>72</v>
      </c>
      <c r="B24" t="s">
        <v>290</v>
      </c>
      <c r="C24" t="s">
        <v>74</v>
      </c>
      <c r="D24" t="s">
        <v>74</v>
      </c>
      <c r="E24" t="s">
        <v>74</v>
      </c>
      <c r="F24" t="s">
        <v>291</v>
      </c>
      <c r="G24" t="s">
        <v>74</v>
      </c>
      <c r="H24" t="s">
        <v>74</v>
      </c>
      <c r="I24" t="s">
        <v>292</v>
      </c>
      <c r="J24" t="s">
        <v>214</v>
      </c>
      <c r="K24" t="s">
        <v>74</v>
      </c>
      <c r="L24" t="s">
        <v>74</v>
      </c>
      <c r="M24" t="s">
        <v>74</v>
      </c>
      <c r="N24" t="s">
        <v>74</v>
      </c>
      <c r="O24" t="s">
        <v>74</v>
      </c>
      <c r="P24" t="s">
        <v>74</v>
      </c>
      <c r="Q24" t="s">
        <v>74</v>
      </c>
      <c r="R24" t="s">
        <v>74</v>
      </c>
      <c r="S24" t="s">
        <v>74</v>
      </c>
      <c r="T24" t="s">
        <v>74</v>
      </c>
      <c r="U24" t="s">
        <v>74</v>
      </c>
      <c r="V24" t="s">
        <v>293</v>
      </c>
      <c r="W24" t="s">
        <v>74</v>
      </c>
      <c r="X24" t="s">
        <v>74</v>
      </c>
      <c r="Y24" t="s">
        <v>74</v>
      </c>
      <c r="Z24" t="s">
        <v>74</v>
      </c>
      <c r="AA24" t="s">
        <v>294</v>
      </c>
      <c r="AB24" t="s">
        <v>74</v>
      </c>
      <c r="AC24" t="s">
        <v>74</v>
      </c>
      <c r="AD24" t="s">
        <v>74</v>
      </c>
      <c r="AE24" t="s">
        <v>74</v>
      </c>
      <c r="AF24" t="s">
        <v>74</v>
      </c>
      <c r="AG24" t="s">
        <v>74</v>
      </c>
      <c r="AH24" t="s">
        <v>74</v>
      </c>
      <c r="AI24" t="s">
        <v>74</v>
      </c>
      <c r="AJ24" t="s">
        <v>74</v>
      </c>
      <c r="AK24" t="s">
        <v>74</v>
      </c>
      <c r="AL24" t="s">
        <v>74</v>
      </c>
      <c r="AM24" t="s">
        <v>74</v>
      </c>
      <c r="AN24" t="s">
        <v>74</v>
      </c>
      <c r="AO24" t="s">
        <v>74</v>
      </c>
      <c r="AP24" t="s">
        <v>216</v>
      </c>
      <c r="AQ24" t="s">
        <v>74</v>
      </c>
      <c r="AR24" t="s">
        <v>74</v>
      </c>
      <c r="AS24" t="s">
        <v>74</v>
      </c>
      <c r="AT24" t="s">
        <v>295</v>
      </c>
      <c r="AU24">
        <v>2025</v>
      </c>
      <c r="AV24" t="s">
        <v>74</v>
      </c>
      <c r="AW24" t="s">
        <v>74</v>
      </c>
      <c r="AX24" t="s">
        <v>74</v>
      </c>
      <c r="AY24" t="s">
        <v>74</v>
      </c>
      <c r="AZ24" t="s">
        <v>74</v>
      </c>
      <c r="BA24" t="s">
        <v>74</v>
      </c>
      <c r="BB24" t="s">
        <v>74</v>
      </c>
      <c r="BC24" t="s">
        <v>74</v>
      </c>
      <c r="BD24" t="s">
        <v>74</v>
      </c>
      <c r="BE24" t="s">
        <v>296</v>
      </c>
      <c r="BF24" t="str">
        <f>HYPERLINK("http://dx.doi.org/10.1002/anie.202517485","http://dx.doi.org/10.1002/anie.202517485")</f>
        <v>http://dx.doi.org/10.1002/anie.202517485</v>
      </c>
      <c r="BG24" t="s">
        <v>74</v>
      </c>
      <c r="BH24" t="s">
        <v>219</v>
      </c>
      <c r="BI24" t="s">
        <v>74</v>
      </c>
      <c r="BJ24" t="s">
        <v>74</v>
      </c>
      <c r="BK24" t="s">
        <v>74</v>
      </c>
      <c r="BL24" t="s">
        <v>74</v>
      </c>
      <c r="BM24" t="s">
        <v>74</v>
      </c>
      <c r="BN24">
        <v>41041887</v>
      </c>
      <c r="BO24" t="s">
        <v>74</v>
      </c>
      <c r="BP24" t="s">
        <v>74</v>
      </c>
      <c r="BQ24" t="s">
        <v>74</v>
      </c>
      <c r="BR24" t="s">
        <v>74</v>
      </c>
      <c r="BS24" t="s">
        <v>297</v>
      </c>
      <c r="BT24" t="str">
        <f>HYPERLINK("https%3A%2F%2Fwww.webofscience.com%2Fwos%2Fwoscc%2Ffull-record%2FWOS:001586017100001","View Full Record in Web of Science")</f>
        <v>View Full Record in Web of Science</v>
      </c>
    </row>
    <row r="25" spans="1:72" x14ac:dyDescent="0.2">
      <c r="A25" t="s">
        <v>72</v>
      </c>
      <c r="B25" t="s">
        <v>298</v>
      </c>
      <c r="C25" t="s">
        <v>74</v>
      </c>
      <c r="D25" t="s">
        <v>74</v>
      </c>
      <c r="E25" t="s">
        <v>74</v>
      </c>
      <c r="F25" t="s">
        <v>299</v>
      </c>
      <c r="G25" t="s">
        <v>74</v>
      </c>
      <c r="H25" t="s">
        <v>74</v>
      </c>
      <c r="I25" t="s">
        <v>300</v>
      </c>
      <c r="J25" t="s">
        <v>301</v>
      </c>
      <c r="K25" t="s">
        <v>74</v>
      </c>
      <c r="L25" t="s">
        <v>74</v>
      </c>
      <c r="M25" t="s">
        <v>74</v>
      </c>
      <c r="N25" t="s">
        <v>74</v>
      </c>
      <c r="O25" t="s">
        <v>74</v>
      </c>
      <c r="P25" t="s">
        <v>74</v>
      </c>
      <c r="Q25" t="s">
        <v>74</v>
      </c>
      <c r="R25" t="s">
        <v>74</v>
      </c>
      <c r="S25" t="s">
        <v>74</v>
      </c>
      <c r="T25" t="s">
        <v>74</v>
      </c>
      <c r="U25" t="s">
        <v>74</v>
      </c>
      <c r="V25" t="s">
        <v>302</v>
      </c>
      <c r="W25" t="s">
        <v>74</v>
      </c>
      <c r="X25" t="s">
        <v>74</v>
      </c>
      <c r="Y25" t="s">
        <v>74</v>
      </c>
      <c r="Z25" t="s">
        <v>74</v>
      </c>
      <c r="AA25" t="s">
        <v>303</v>
      </c>
      <c r="AB25" t="s">
        <v>74</v>
      </c>
      <c r="AC25" t="s">
        <v>74</v>
      </c>
      <c r="AD25" t="s">
        <v>74</v>
      </c>
      <c r="AE25" t="s">
        <v>74</v>
      </c>
      <c r="AF25" t="s">
        <v>74</v>
      </c>
      <c r="AG25" t="s">
        <v>74</v>
      </c>
      <c r="AH25" t="s">
        <v>74</v>
      </c>
      <c r="AI25" t="s">
        <v>74</v>
      </c>
      <c r="AJ25" t="s">
        <v>74</v>
      </c>
      <c r="AK25" t="s">
        <v>74</v>
      </c>
      <c r="AL25" t="s">
        <v>74</v>
      </c>
      <c r="AM25" t="s">
        <v>74</v>
      </c>
      <c r="AN25" t="s">
        <v>74</v>
      </c>
      <c r="AO25" t="s">
        <v>304</v>
      </c>
      <c r="AP25" t="s">
        <v>305</v>
      </c>
      <c r="AQ25" t="s">
        <v>74</v>
      </c>
      <c r="AR25" t="s">
        <v>74</v>
      </c>
      <c r="AS25" t="s">
        <v>74</v>
      </c>
      <c r="AT25" t="s">
        <v>306</v>
      </c>
      <c r="AU25">
        <v>2025</v>
      </c>
      <c r="AV25">
        <v>8</v>
      </c>
      <c r="AW25">
        <v>10</v>
      </c>
      <c r="AX25" t="s">
        <v>74</v>
      </c>
      <c r="AY25" t="s">
        <v>74</v>
      </c>
      <c r="AZ25" t="s">
        <v>74</v>
      </c>
      <c r="BA25" t="s">
        <v>74</v>
      </c>
      <c r="BB25" t="s">
        <v>74</v>
      </c>
      <c r="BC25" t="s">
        <v>74</v>
      </c>
      <c r="BD25">
        <v>102195</v>
      </c>
      <c r="BE25" t="s">
        <v>307</v>
      </c>
      <c r="BF25" t="str">
        <f>HYPERLINK("http://dx.doi.org/10.1016/j.matt.2025.102195","http://dx.doi.org/10.1016/j.matt.2025.102195")</f>
        <v>http://dx.doi.org/10.1016/j.matt.2025.102195</v>
      </c>
      <c r="BG25" t="s">
        <v>74</v>
      </c>
      <c r="BH25" t="s">
        <v>219</v>
      </c>
      <c r="BI25" t="s">
        <v>74</v>
      </c>
      <c r="BJ25" t="s">
        <v>74</v>
      </c>
      <c r="BK25" t="s">
        <v>74</v>
      </c>
      <c r="BL25" t="s">
        <v>74</v>
      </c>
      <c r="BM25" t="s">
        <v>74</v>
      </c>
      <c r="BN25" t="s">
        <v>74</v>
      </c>
      <c r="BO25" t="s">
        <v>74</v>
      </c>
      <c r="BP25" t="s">
        <v>74</v>
      </c>
      <c r="BQ25" t="s">
        <v>74</v>
      </c>
      <c r="BR25" t="s">
        <v>74</v>
      </c>
      <c r="BS25" t="s">
        <v>308</v>
      </c>
      <c r="BT25" t="str">
        <f>HYPERLINK("https%3A%2F%2Fwww.webofscience.com%2Fwos%2Fwoscc%2Ffull-record%2FWOS:001589375800028","View Full Record in Web of Science")</f>
        <v>View Full Record in Web of Science</v>
      </c>
    </row>
    <row r="26" spans="1:72" x14ac:dyDescent="0.2">
      <c r="A26" t="s">
        <v>72</v>
      </c>
      <c r="B26" t="s">
        <v>309</v>
      </c>
      <c r="C26" t="s">
        <v>74</v>
      </c>
      <c r="D26" t="s">
        <v>74</v>
      </c>
      <c r="E26" t="s">
        <v>74</v>
      </c>
      <c r="F26" t="s">
        <v>310</v>
      </c>
      <c r="G26" t="s">
        <v>74</v>
      </c>
      <c r="H26" t="s">
        <v>74</v>
      </c>
      <c r="I26" t="s">
        <v>311</v>
      </c>
      <c r="J26" t="s">
        <v>312</v>
      </c>
      <c r="K26" t="s">
        <v>74</v>
      </c>
      <c r="L26" t="s">
        <v>74</v>
      </c>
      <c r="M26" t="s">
        <v>74</v>
      </c>
      <c r="N26" t="s">
        <v>74</v>
      </c>
      <c r="O26" t="s">
        <v>74</v>
      </c>
      <c r="P26" t="s">
        <v>74</v>
      </c>
      <c r="Q26" t="s">
        <v>74</v>
      </c>
      <c r="R26" t="s">
        <v>74</v>
      </c>
      <c r="S26" t="s">
        <v>74</v>
      </c>
      <c r="T26" t="s">
        <v>74</v>
      </c>
      <c r="U26" t="s">
        <v>74</v>
      </c>
      <c r="V26" t="s">
        <v>313</v>
      </c>
      <c r="W26" t="s">
        <v>74</v>
      </c>
      <c r="X26" t="s">
        <v>74</v>
      </c>
      <c r="Y26" t="s">
        <v>74</v>
      </c>
      <c r="Z26" t="s">
        <v>74</v>
      </c>
      <c r="AA26" t="s">
        <v>74</v>
      </c>
      <c r="AB26" t="s">
        <v>74</v>
      </c>
      <c r="AC26" t="s">
        <v>74</v>
      </c>
      <c r="AD26" t="s">
        <v>74</v>
      </c>
      <c r="AE26" t="s">
        <v>74</v>
      </c>
      <c r="AF26" t="s">
        <v>74</v>
      </c>
      <c r="AG26" t="s">
        <v>74</v>
      </c>
      <c r="AH26" t="s">
        <v>74</v>
      </c>
      <c r="AI26" t="s">
        <v>74</v>
      </c>
      <c r="AJ26" t="s">
        <v>74</v>
      </c>
      <c r="AK26" t="s">
        <v>74</v>
      </c>
      <c r="AL26" t="s">
        <v>74</v>
      </c>
      <c r="AM26" t="s">
        <v>74</v>
      </c>
      <c r="AN26" t="s">
        <v>74</v>
      </c>
      <c r="AO26" t="s">
        <v>314</v>
      </c>
      <c r="AP26" t="s">
        <v>315</v>
      </c>
      <c r="AQ26" t="s">
        <v>74</v>
      </c>
      <c r="AR26" t="s">
        <v>74</v>
      </c>
      <c r="AS26" t="s">
        <v>74</v>
      </c>
      <c r="AT26" t="s">
        <v>316</v>
      </c>
      <c r="AU26">
        <v>2025</v>
      </c>
      <c r="AV26">
        <v>18</v>
      </c>
      <c r="AW26">
        <v>10</v>
      </c>
      <c r="AX26" t="s">
        <v>74</v>
      </c>
      <c r="AY26" t="s">
        <v>74</v>
      </c>
      <c r="AZ26" t="s">
        <v>74</v>
      </c>
      <c r="BA26" t="s">
        <v>74</v>
      </c>
      <c r="BB26" t="s">
        <v>74</v>
      </c>
      <c r="BC26" t="s">
        <v>74</v>
      </c>
      <c r="BD26">
        <v>94907513</v>
      </c>
      <c r="BE26" t="s">
        <v>317</v>
      </c>
      <c r="BF26" t="str">
        <f>HYPERLINK("http://dx.doi.org/10.26599/NR.2025.94907513","http://dx.doi.org/10.26599/NR.2025.94907513")</f>
        <v>http://dx.doi.org/10.26599/NR.2025.94907513</v>
      </c>
      <c r="BG26" t="s">
        <v>74</v>
      </c>
      <c r="BH26" t="s">
        <v>74</v>
      </c>
      <c r="BI26" t="s">
        <v>74</v>
      </c>
      <c r="BJ26" t="s">
        <v>74</v>
      </c>
      <c r="BK26" t="s">
        <v>74</v>
      </c>
      <c r="BL26" t="s">
        <v>74</v>
      </c>
      <c r="BM26" t="s">
        <v>74</v>
      </c>
      <c r="BN26" t="s">
        <v>74</v>
      </c>
      <c r="BO26" t="s">
        <v>74</v>
      </c>
      <c r="BP26" t="s">
        <v>74</v>
      </c>
      <c r="BQ26" t="s">
        <v>74</v>
      </c>
      <c r="BR26" t="s">
        <v>74</v>
      </c>
      <c r="BS26" t="s">
        <v>318</v>
      </c>
      <c r="BT26" t="str">
        <f>HYPERLINK("https%3A%2F%2Fwww.webofscience.com%2Fwos%2Fwoscc%2Ffull-record%2FWOS:001576418400021","View Full Record in Web of Science")</f>
        <v>View Full Record in Web of Science</v>
      </c>
    </row>
    <row r="27" spans="1:72" x14ac:dyDescent="0.2">
      <c r="A27" t="s">
        <v>72</v>
      </c>
      <c r="B27" t="s">
        <v>319</v>
      </c>
      <c r="C27" t="s">
        <v>74</v>
      </c>
      <c r="D27" t="s">
        <v>74</v>
      </c>
      <c r="E27" t="s">
        <v>74</v>
      </c>
      <c r="F27" t="s">
        <v>320</v>
      </c>
      <c r="G27" t="s">
        <v>74</v>
      </c>
      <c r="H27" t="s">
        <v>74</v>
      </c>
      <c r="I27" t="s">
        <v>321</v>
      </c>
      <c r="J27" t="s">
        <v>322</v>
      </c>
      <c r="K27" t="s">
        <v>74</v>
      </c>
      <c r="L27" t="s">
        <v>74</v>
      </c>
      <c r="M27" t="s">
        <v>74</v>
      </c>
      <c r="N27" t="s">
        <v>74</v>
      </c>
      <c r="O27" t="s">
        <v>74</v>
      </c>
      <c r="P27" t="s">
        <v>74</v>
      </c>
      <c r="Q27" t="s">
        <v>74</v>
      </c>
      <c r="R27" t="s">
        <v>74</v>
      </c>
      <c r="S27" t="s">
        <v>74</v>
      </c>
      <c r="T27" t="s">
        <v>74</v>
      </c>
      <c r="U27" t="s">
        <v>74</v>
      </c>
      <c r="V27" t="s">
        <v>323</v>
      </c>
      <c r="W27" t="s">
        <v>74</v>
      </c>
      <c r="X27" t="s">
        <v>74</v>
      </c>
      <c r="Y27" t="s">
        <v>74</v>
      </c>
      <c r="Z27" t="s">
        <v>74</v>
      </c>
      <c r="AA27" t="s">
        <v>324</v>
      </c>
      <c r="AB27" t="s">
        <v>74</v>
      </c>
      <c r="AC27" t="s">
        <v>74</v>
      </c>
      <c r="AD27" t="s">
        <v>74</v>
      </c>
      <c r="AE27" t="s">
        <v>74</v>
      </c>
      <c r="AF27" t="s">
        <v>74</v>
      </c>
      <c r="AG27" t="s">
        <v>74</v>
      </c>
      <c r="AH27" t="s">
        <v>74</v>
      </c>
      <c r="AI27" t="s">
        <v>74</v>
      </c>
      <c r="AJ27" t="s">
        <v>74</v>
      </c>
      <c r="AK27" t="s">
        <v>74</v>
      </c>
      <c r="AL27" t="s">
        <v>74</v>
      </c>
      <c r="AM27" t="s">
        <v>74</v>
      </c>
      <c r="AN27" t="s">
        <v>74</v>
      </c>
      <c r="AO27" t="s">
        <v>325</v>
      </c>
      <c r="AP27" t="s">
        <v>326</v>
      </c>
      <c r="AQ27" t="s">
        <v>74</v>
      </c>
      <c r="AR27" t="s">
        <v>74</v>
      </c>
      <c r="AS27" t="s">
        <v>74</v>
      </c>
      <c r="AT27" t="s">
        <v>316</v>
      </c>
      <c r="AU27">
        <v>2025</v>
      </c>
      <c r="AV27">
        <v>145</v>
      </c>
      <c r="AW27" t="s">
        <v>74</v>
      </c>
      <c r="AX27" t="s">
        <v>74</v>
      </c>
      <c r="AY27" t="s">
        <v>74</v>
      </c>
      <c r="AZ27" t="s">
        <v>74</v>
      </c>
      <c r="BA27" t="s">
        <v>74</v>
      </c>
      <c r="BB27" t="s">
        <v>74</v>
      </c>
      <c r="BC27" t="s">
        <v>74</v>
      </c>
      <c r="BD27">
        <v>107310</v>
      </c>
      <c r="BE27" t="s">
        <v>327</v>
      </c>
      <c r="BF27" t="str">
        <f>HYPERLINK("http://dx.doi.org/10.1016/j.orgel.2025.107310","http://dx.doi.org/10.1016/j.orgel.2025.107310")</f>
        <v>http://dx.doi.org/10.1016/j.orgel.2025.107310</v>
      </c>
      <c r="BG27" t="s">
        <v>74</v>
      </c>
      <c r="BH27" t="s">
        <v>74</v>
      </c>
      <c r="BI27" t="s">
        <v>74</v>
      </c>
      <c r="BJ27" t="s">
        <v>74</v>
      </c>
      <c r="BK27" t="s">
        <v>74</v>
      </c>
      <c r="BL27" t="s">
        <v>74</v>
      </c>
      <c r="BM27" t="s">
        <v>74</v>
      </c>
      <c r="BN27" t="s">
        <v>74</v>
      </c>
      <c r="BO27" t="s">
        <v>74</v>
      </c>
      <c r="BP27" t="s">
        <v>74</v>
      </c>
      <c r="BQ27" t="s">
        <v>74</v>
      </c>
      <c r="BR27" t="s">
        <v>74</v>
      </c>
      <c r="BS27" t="s">
        <v>328</v>
      </c>
      <c r="BT27" t="str">
        <f>HYPERLINK("https%3A%2F%2Fwww.webofscience.com%2Fwos%2Fwoscc%2Ffull-record%2FWOS:001546924300001","View Full Record in Web of Science")</f>
        <v>View Full Record in Web of Science</v>
      </c>
    </row>
    <row r="28" spans="1:72" x14ac:dyDescent="0.2">
      <c r="A28" t="s">
        <v>72</v>
      </c>
      <c r="B28" t="s">
        <v>329</v>
      </c>
      <c r="C28" t="s">
        <v>74</v>
      </c>
      <c r="D28" t="s">
        <v>74</v>
      </c>
      <c r="E28" t="s">
        <v>74</v>
      </c>
      <c r="F28" t="s">
        <v>330</v>
      </c>
      <c r="G28" t="s">
        <v>74</v>
      </c>
      <c r="H28" t="s">
        <v>74</v>
      </c>
      <c r="I28" t="s">
        <v>331</v>
      </c>
      <c r="J28" t="s">
        <v>332</v>
      </c>
      <c r="K28" t="s">
        <v>74</v>
      </c>
      <c r="L28" t="s">
        <v>74</v>
      </c>
      <c r="M28" t="s">
        <v>74</v>
      </c>
      <c r="N28" t="s">
        <v>74</v>
      </c>
      <c r="O28" t="s">
        <v>74</v>
      </c>
      <c r="P28" t="s">
        <v>74</v>
      </c>
      <c r="Q28" t="s">
        <v>74</v>
      </c>
      <c r="R28" t="s">
        <v>74</v>
      </c>
      <c r="S28" t="s">
        <v>74</v>
      </c>
      <c r="T28" t="s">
        <v>74</v>
      </c>
      <c r="U28" t="s">
        <v>74</v>
      </c>
      <c r="V28" t="s">
        <v>333</v>
      </c>
      <c r="W28" t="s">
        <v>74</v>
      </c>
      <c r="X28" t="s">
        <v>74</v>
      </c>
      <c r="Y28" t="s">
        <v>74</v>
      </c>
      <c r="Z28" t="s">
        <v>74</v>
      </c>
      <c r="AA28" t="s">
        <v>334</v>
      </c>
      <c r="AB28" t="s">
        <v>74</v>
      </c>
      <c r="AC28" t="s">
        <v>74</v>
      </c>
      <c r="AD28" t="s">
        <v>74</v>
      </c>
      <c r="AE28" t="s">
        <v>74</v>
      </c>
      <c r="AF28" t="s">
        <v>74</v>
      </c>
      <c r="AG28" t="s">
        <v>74</v>
      </c>
      <c r="AH28" t="s">
        <v>74</v>
      </c>
      <c r="AI28" t="s">
        <v>74</v>
      </c>
      <c r="AJ28" t="s">
        <v>74</v>
      </c>
      <c r="AK28" t="s">
        <v>74</v>
      </c>
      <c r="AL28" t="s">
        <v>74</v>
      </c>
      <c r="AM28" t="s">
        <v>74</v>
      </c>
      <c r="AN28" t="s">
        <v>74</v>
      </c>
      <c r="AO28" t="s">
        <v>335</v>
      </c>
      <c r="AP28" t="s">
        <v>336</v>
      </c>
      <c r="AQ28" t="s">
        <v>74</v>
      </c>
      <c r="AR28" t="s">
        <v>74</v>
      </c>
      <c r="AS28" t="s">
        <v>74</v>
      </c>
      <c r="AT28" t="s">
        <v>316</v>
      </c>
      <c r="AU28">
        <v>2025</v>
      </c>
      <c r="AV28">
        <v>13</v>
      </c>
      <c r="AW28">
        <v>5</v>
      </c>
      <c r="AX28" t="s">
        <v>74</v>
      </c>
      <c r="AY28" t="s">
        <v>74</v>
      </c>
      <c r="AZ28" t="s">
        <v>74</v>
      </c>
      <c r="BA28" t="s">
        <v>74</v>
      </c>
      <c r="BB28" t="s">
        <v>74</v>
      </c>
      <c r="BC28" t="s">
        <v>74</v>
      </c>
      <c r="BD28">
        <v>118087</v>
      </c>
      <c r="BE28" t="s">
        <v>337</v>
      </c>
      <c r="BF28" t="str">
        <f>HYPERLINK("http://dx.doi.org/10.1016/j.jece.2025.118087","http://dx.doi.org/10.1016/j.jece.2025.118087")</f>
        <v>http://dx.doi.org/10.1016/j.jece.2025.118087</v>
      </c>
      <c r="BG28" t="s">
        <v>74</v>
      </c>
      <c r="BH28" t="s">
        <v>74</v>
      </c>
      <c r="BI28" t="s">
        <v>74</v>
      </c>
      <c r="BJ28" t="s">
        <v>74</v>
      </c>
      <c r="BK28" t="s">
        <v>74</v>
      </c>
      <c r="BL28" t="s">
        <v>74</v>
      </c>
      <c r="BM28" t="s">
        <v>74</v>
      </c>
      <c r="BN28" t="s">
        <v>74</v>
      </c>
      <c r="BO28" t="s">
        <v>74</v>
      </c>
      <c r="BP28" t="s">
        <v>74</v>
      </c>
      <c r="BQ28" t="s">
        <v>74</v>
      </c>
      <c r="BR28" t="s">
        <v>74</v>
      </c>
      <c r="BS28" t="s">
        <v>338</v>
      </c>
      <c r="BT28" t="str">
        <f>HYPERLINK("https%3A%2F%2Fwww.webofscience.com%2Fwos%2Fwoscc%2Ffull-record%2FWOS:001550197400002","View Full Record in Web of Science")</f>
        <v>View Full Record in Web of Science</v>
      </c>
    </row>
    <row r="29" spans="1:72" x14ac:dyDescent="0.2">
      <c r="A29" t="s">
        <v>72</v>
      </c>
      <c r="B29" t="s">
        <v>339</v>
      </c>
      <c r="C29" t="s">
        <v>74</v>
      </c>
      <c r="D29" t="s">
        <v>74</v>
      </c>
      <c r="E29" t="s">
        <v>74</v>
      </c>
      <c r="F29" t="s">
        <v>340</v>
      </c>
      <c r="G29" t="s">
        <v>74</v>
      </c>
      <c r="H29" t="s">
        <v>74</v>
      </c>
      <c r="I29" t="s">
        <v>341</v>
      </c>
      <c r="J29" t="s">
        <v>342</v>
      </c>
      <c r="K29" t="s">
        <v>74</v>
      </c>
      <c r="L29" t="s">
        <v>74</v>
      </c>
      <c r="M29" t="s">
        <v>74</v>
      </c>
      <c r="N29" t="s">
        <v>74</v>
      </c>
      <c r="O29" t="s">
        <v>74</v>
      </c>
      <c r="P29" t="s">
        <v>74</v>
      </c>
      <c r="Q29" t="s">
        <v>74</v>
      </c>
      <c r="R29" t="s">
        <v>74</v>
      </c>
      <c r="S29" t="s">
        <v>74</v>
      </c>
      <c r="T29" t="s">
        <v>74</v>
      </c>
      <c r="U29" t="s">
        <v>74</v>
      </c>
      <c r="V29" t="s">
        <v>343</v>
      </c>
      <c r="W29" t="s">
        <v>74</v>
      </c>
      <c r="X29" t="s">
        <v>74</v>
      </c>
      <c r="Y29" t="s">
        <v>74</v>
      </c>
      <c r="Z29" t="s">
        <v>74</v>
      </c>
      <c r="AA29" t="s">
        <v>344</v>
      </c>
      <c r="AB29" t="s">
        <v>74</v>
      </c>
      <c r="AC29" t="s">
        <v>74</v>
      </c>
      <c r="AD29" t="s">
        <v>74</v>
      </c>
      <c r="AE29" t="s">
        <v>74</v>
      </c>
      <c r="AF29" t="s">
        <v>74</v>
      </c>
      <c r="AG29" t="s">
        <v>74</v>
      </c>
      <c r="AH29" t="s">
        <v>74</v>
      </c>
      <c r="AI29" t="s">
        <v>74</v>
      </c>
      <c r="AJ29" t="s">
        <v>74</v>
      </c>
      <c r="AK29" t="s">
        <v>74</v>
      </c>
      <c r="AL29" t="s">
        <v>74</v>
      </c>
      <c r="AM29" t="s">
        <v>74</v>
      </c>
      <c r="AN29" t="s">
        <v>74</v>
      </c>
      <c r="AO29" t="s">
        <v>345</v>
      </c>
      <c r="AP29" t="s">
        <v>346</v>
      </c>
      <c r="AQ29" t="s">
        <v>74</v>
      </c>
      <c r="AR29" t="s">
        <v>74</v>
      </c>
      <c r="AS29" t="s">
        <v>74</v>
      </c>
      <c r="AT29" t="s">
        <v>306</v>
      </c>
      <c r="AU29">
        <v>2025</v>
      </c>
      <c r="AV29">
        <v>521</v>
      </c>
      <c r="AW29" t="s">
        <v>74</v>
      </c>
      <c r="AX29" t="s">
        <v>74</v>
      </c>
      <c r="AY29" t="s">
        <v>74</v>
      </c>
      <c r="AZ29" t="s">
        <v>74</v>
      </c>
      <c r="BA29" t="s">
        <v>74</v>
      </c>
      <c r="BB29" t="s">
        <v>74</v>
      </c>
      <c r="BC29" t="s">
        <v>74</v>
      </c>
      <c r="BD29">
        <v>166362</v>
      </c>
      <c r="BE29" t="s">
        <v>347</v>
      </c>
      <c r="BF29" t="str">
        <f>HYPERLINK("http://dx.doi.org/10.1016/j.cej.2025.166362","http://dx.doi.org/10.1016/j.cej.2025.166362")</f>
        <v>http://dx.doi.org/10.1016/j.cej.2025.166362</v>
      </c>
      <c r="BG29" t="s">
        <v>74</v>
      </c>
      <c r="BH29" t="s">
        <v>74</v>
      </c>
      <c r="BI29" t="s">
        <v>74</v>
      </c>
      <c r="BJ29" t="s">
        <v>74</v>
      </c>
      <c r="BK29" t="s">
        <v>74</v>
      </c>
      <c r="BL29" t="s">
        <v>74</v>
      </c>
      <c r="BM29" t="s">
        <v>74</v>
      </c>
      <c r="BN29" t="s">
        <v>74</v>
      </c>
      <c r="BO29" t="s">
        <v>74</v>
      </c>
      <c r="BP29" t="s">
        <v>74</v>
      </c>
      <c r="BQ29" t="s">
        <v>74</v>
      </c>
      <c r="BR29" t="s">
        <v>74</v>
      </c>
      <c r="BS29" t="s">
        <v>348</v>
      </c>
      <c r="BT29" t="str">
        <f>HYPERLINK("https%3A%2F%2Fwww.webofscience.com%2Fwos%2Fwoscc%2Ffull-record%2FWOS:001544402800002","View Full Record in Web of Science")</f>
        <v>View Full Record in Web of Science</v>
      </c>
    </row>
    <row r="30" spans="1:72" x14ac:dyDescent="0.2">
      <c r="A30" t="s">
        <v>72</v>
      </c>
      <c r="B30" t="s">
        <v>349</v>
      </c>
      <c r="C30" t="s">
        <v>74</v>
      </c>
      <c r="D30" t="s">
        <v>74</v>
      </c>
      <c r="E30" t="s">
        <v>74</v>
      </c>
      <c r="F30" t="s">
        <v>350</v>
      </c>
      <c r="G30" t="s">
        <v>74</v>
      </c>
      <c r="H30" t="s">
        <v>74</v>
      </c>
      <c r="I30" t="s">
        <v>351</v>
      </c>
      <c r="J30" t="s">
        <v>352</v>
      </c>
      <c r="K30" t="s">
        <v>74</v>
      </c>
      <c r="L30" t="s">
        <v>74</v>
      </c>
      <c r="M30" t="s">
        <v>74</v>
      </c>
      <c r="N30" t="s">
        <v>74</v>
      </c>
      <c r="O30" t="s">
        <v>74</v>
      </c>
      <c r="P30" t="s">
        <v>74</v>
      </c>
      <c r="Q30" t="s">
        <v>74</v>
      </c>
      <c r="R30" t="s">
        <v>74</v>
      </c>
      <c r="S30" t="s">
        <v>74</v>
      </c>
      <c r="T30" t="s">
        <v>74</v>
      </c>
      <c r="U30" t="s">
        <v>74</v>
      </c>
      <c r="V30" t="s">
        <v>353</v>
      </c>
      <c r="W30" t="s">
        <v>74</v>
      </c>
      <c r="X30" t="s">
        <v>74</v>
      </c>
      <c r="Y30" t="s">
        <v>74</v>
      </c>
      <c r="Z30" t="s">
        <v>74</v>
      </c>
      <c r="AA30" t="s">
        <v>354</v>
      </c>
      <c r="AB30" t="s">
        <v>74</v>
      </c>
      <c r="AC30" t="s">
        <v>74</v>
      </c>
      <c r="AD30" t="s">
        <v>74</v>
      </c>
      <c r="AE30" t="s">
        <v>74</v>
      </c>
      <c r="AF30" t="s">
        <v>74</v>
      </c>
      <c r="AG30" t="s">
        <v>74</v>
      </c>
      <c r="AH30" t="s">
        <v>74</v>
      </c>
      <c r="AI30" t="s">
        <v>74</v>
      </c>
      <c r="AJ30" t="s">
        <v>74</v>
      </c>
      <c r="AK30" t="s">
        <v>74</v>
      </c>
      <c r="AL30" t="s">
        <v>74</v>
      </c>
      <c r="AM30" t="s">
        <v>74</v>
      </c>
      <c r="AN30" t="s">
        <v>74</v>
      </c>
      <c r="AO30" t="s">
        <v>355</v>
      </c>
      <c r="AP30" t="s">
        <v>356</v>
      </c>
      <c r="AQ30" t="s">
        <v>74</v>
      </c>
      <c r="AR30" t="s">
        <v>74</v>
      </c>
      <c r="AS30" t="s">
        <v>74</v>
      </c>
      <c r="AT30" t="s">
        <v>357</v>
      </c>
      <c r="AU30">
        <v>2025</v>
      </c>
      <c r="AV30">
        <v>64</v>
      </c>
      <c r="AW30">
        <v>41</v>
      </c>
      <c r="AX30" t="s">
        <v>74</v>
      </c>
      <c r="AY30" t="s">
        <v>74</v>
      </c>
      <c r="AZ30" t="s">
        <v>74</v>
      </c>
      <c r="BA30" t="s">
        <v>74</v>
      </c>
      <c r="BB30">
        <v>19890</v>
      </c>
      <c r="BC30">
        <v>19899</v>
      </c>
      <c r="BD30" t="s">
        <v>74</v>
      </c>
      <c r="BE30" t="s">
        <v>358</v>
      </c>
      <c r="BF30" t="str">
        <f>HYPERLINK("http://dx.doi.org/10.1021/acs.iecr.5c03399","http://dx.doi.org/10.1021/acs.iecr.5c03399")</f>
        <v>http://dx.doi.org/10.1021/acs.iecr.5c03399</v>
      </c>
      <c r="BG30" t="s">
        <v>74</v>
      </c>
      <c r="BH30" t="s">
        <v>219</v>
      </c>
      <c r="BI30" t="s">
        <v>74</v>
      </c>
      <c r="BJ30" t="s">
        <v>74</v>
      </c>
      <c r="BK30" t="s">
        <v>74</v>
      </c>
      <c r="BL30" t="s">
        <v>74</v>
      </c>
      <c r="BM30" t="s">
        <v>74</v>
      </c>
      <c r="BN30" t="s">
        <v>74</v>
      </c>
      <c r="BO30" t="s">
        <v>74</v>
      </c>
      <c r="BP30" t="s">
        <v>74</v>
      </c>
      <c r="BQ30" t="s">
        <v>74</v>
      </c>
      <c r="BR30" t="s">
        <v>74</v>
      </c>
      <c r="BS30" t="s">
        <v>359</v>
      </c>
      <c r="BT30" t="str">
        <f>HYPERLINK("https%3A%2F%2Fwww.webofscience.com%2Fwos%2Fwoscc%2Ffull-record%2FWOS:001585257500001","View Full Record in Web of Science")</f>
        <v>View Full Record in Web of Science</v>
      </c>
    </row>
    <row r="31" spans="1:72" x14ac:dyDescent="0.2">
      <c r="A31" t="s">
        <v>72</v>
      </c>
      <c r="B31" t="s">
        <v>360</v>
      </c>
      <c r="C31" t="s">
        <v>74</v>
      </c>
      <c r="D31" t="s">
        <v>74</v>
      </c>
      <c r="E31" t="s">
        <v>74</v>
      </c>
      <c r="F31" t="s">
        <v>361</v>
      </c>
      <c r="G31" t="s">
        <v>74</v>
      </c>
      <c r="H31" t="s">
        <v>74</v>
      </c>
      <c r="I31" t="s">
        <v>362</v>
      </c>
      <c r="J31" t="s">
        <v>77</v>
      </c>
      <c r="K31" t="s">
        <v>74</v>
      </c>
      <c r="L31" t="s">
        <v>74</v>
      </c>
      <c r="M31" t="s">
        <v>74</v>
      </c>
      <c r="N31" t="s">
        <v>74</v>
      </c>
      <c r="O31" t="s">
        <v>74</v>
      </c>
      <c r="P31" t="s">
        <v>74</v>
      </c>
      <c r="Q31" t="s">
        <v>74</v>
      </c>
      <c r="R31" t="s">
        <v>74</v>
      </c>
      <c r="S31" t="s">
        <v>74</v>
      </c>
      <c r="T31" t="s">
        <v>74</v>
      </c>
      <c r="U31" t="s">
        <v>74</v>
      </c>
      <c r="V31" t="s">
        <v>363</v>
      </c>
      <c r="W31" t="s">
        <v>74</v>
      </c>
      <c r="X31" t="s">
        <v>74</v>
      </c>
      <c r="Y31" t="s">
        <v>74</v>
      </c>
      <c r="Z31" t="s">
        <v>74</v>
      </c>
      <c r="AA31" t="s">
        <v>364</v>
      </c>
      <c r="AB31" t="s">
        <v>74</v>
      </c>
      <c r="AC31" t="s">
        <v>74</v>
      </c>
      <c r="AD31" t="s">
        <v>74</v>
      </c>
      <c r="AE31" t="s">
        <v>74</v>
      </c>
      <c r="AF31" t="s">
        <v>74</v>
      </c>
      <c r="AG31" t="s">
        <v>74</v>
      </c>
      <c r="AH31" t="s">
        <v>74</v>
      </c>
      <c r="AI31" t="s">
        <v>74</v>
      </c>
      <c r="AJ31" t="s">
        <v>74</v>
      </c>
      <c r="AK31" t="s">
        <v>74</v>
      </c>
      <c r="AL31" t="s">
        <v>74</v>
      </c>
      <c r="AM31" t="s">
        <v>74</v>
      </c>
      <c r="AN31" t="s">
        <v>74</v>
      </c>
      <c r="AO31" t="s">
        <v>80</v>
      </c>
      <c r="AP31" t="s">
        <v>81</v>
      </c>
      <c r="AQ31" t="s">
        <v>74</v>
      </c>
      <c r="AR31" t="s">
        <v>74</v>
      </c>
      <c r="AS31" t="s">
        <v>74</v>
      </c>
      <c r="AT31" t="s">
        <v>316</v>
      </c>
      <c r="AU31">
        <v>2025</v>
      </c>
      <c r="AV31">
        <v>241</v>
      </c>
      <c r="AW31" t="s">
        <v>74</v>
      </c>
      <c r="AX31" t="s">
        <v>74</v>
      </c>
      <c r="AY31" t="s">
        <v>74</v>
      </c>
      <c r="AZ31" t="s">
        <v>74</v>
      </c>
      <c r="BA31" t="s">
        <v>74</v>
      </c>
      <c r="BB31" t="s">
        <v>74</v>
      </c>
      <c r="BC31" t="s">
        <v>74</v>
      </c>
      <c r="BD31">
        <v>112880</v>
      </c>
      <c r="BE31" t="s">
        <v>365</v>
      </c>
      <c r="BF31" t="str">
        <f>HYPERLINK("http://dx.doi.org/10.1016/j.dyepig.2025.112880","http://dx.doi.org/10.1016/j.dyepig.2025.112880")</f>
        <v>http://dx.doi.org/10.1016/j.dyepig.2025.112880</v>
      </c>
      <c r="BG31" t="s">
        <v>74</v>
      </c>
      <c r="BH31" t="s">
        <v>74</v>
      </c>
      <c r="BI31" t="s">
        <v>74</v>
      </c>
      <c r="BJ31" t="s">
        <v>74</v>
      </c>
      <c r="BK31" t="s">
        <v>74</v>
      </c>
      <c r="BL31" t="s">
        <v>74</v>
      </c>
      <c r="BM31" t="s">
        <v>74</v>
      </c>
      <c r="BN31" t="s">
        <v>74</v>
      </c>
      <c r="BO31" t="s">
        <v>74</v>
      </c>
      <c r="BP31" t="s">
        <v>74</v>
      </c>
      <c r="BQ31" t="s">
        <v>74</v>
      </c>
      <c r="BR31" t="s">
        <v>74</v>
      </c>
      <c r="BS31" t="s">
        <v>366</v>
      </c>
      <c r="BT31" t="str">
        <f>HYPERLINK("https%3A%2F%2Fwww.webofscience.com%2Fwos%2Fwoscc%2Ffull-record%2FWOS:001497021200001","View Full Record in Web of Science")</f>
        <v>View Full Record in Web of Science</v>
      </c>
    </row>
    <row r="32" spans="1:72" x14ac:dyDescent="0.2">
      <c r="A32" t="s">
        <v>72</v>
      </c>
      <c r="B32" t="s">
        <v>367</v>
      </c>
      <c r="C32" t="s">
        <v>74</v>
      </c>
      <c r="D32" t="s">
        <v>74</v>
      </c>
      <c r="E32" t="s">
        <v>74</v>
      </c>
      <c r="F32" t="s">
        <v>368</v>
      </c>
      <c r="G32" t="s">
        <v>74</v>
      </c>
      <c r="H32" t="s">
        <v>74</v>
      </c>
      <c r="I32" t="s">
        <v>369</v>
      </c>
      <c r="J32" t="s">
        <v>370</v>
      </c>
      <c r="K32" t="s">
        <v>74</v>
      </c>
      <c r="L32" t="s">
        <v>74</v>
      </c>
      <c r="M32" t="s">
        <v>74</v>
      </c>
      <c r="N32" t="s">
        <v>74</v>
      </c>
      <c r="O32" t="s">
        <v>74</v>
      </c>
      <c r="P32" t="s">
        <v>74</v>
      </c>
      <c r="Q32" t="s">
        <v>74</v>
      </c>
      <c r="R32" t="s">
        <v>74</v>
      </c>
      <c r="S32" t="s">
        <v>74</v>
      </c>
      <c r="T32" t="s">
        <v>74</v>
      </c>
      <c r="U32" t="s">
        <v>74</v>
      </c>
      <c r="V32" t="s">
        <v>371</v>
      </c>
      <c r="W32" t="s">
        <v>74</v>
      </c>
      <c r="X32" t="s">
        <v>74</v>
      </c>
      <c r="Y32" t="s">
        <v>74</v>
      </c>
      <c r="Z32" t="s">
        <v>74</v>
      </c>
      <c r="AA32" t="s">
        <v>372</v>
      </c>
      <c r="AB32" t="s">
        <v>373</v>
      </c>
      <c r="AC32" t="s">
        <v>74</v>
      </c>
      <c r="AD32" t="s">
        <v>74</v>
      </c>
      <c r="AE32" t="s">
        <v>74</v>
      </c>
      <c r="AF32" t="s">
        <v>74</v>
      </c>
      <c r="AG32" t="s">
        <v>74</v>
      </c>
      <c r="AH32" t="s">
        <v>74</v>
      </c>
      <c r="AI32" t="s">
        <v>74</v>
      </c>
      <c r="AJ32" t="s">
        <v>74</v>
      </c>
      <c r="AK32" t="s">
        <v>74</v>
      </c>
      <c r="AL32" t="s">
        <v>74</v>
      </c>
      <c r="AM32" t="s">
        <v>74</v>
      </c>
      <c r="AN32" t="s">
        <v>74</v>
      </c>
      <c r="AO32" t="s">
        <v>374</v>
      </c>
      <c r="AP32" t="s">
        <v>375</v>
      </c>
      <c r="AQ32" t="s">
        <v>74</v>
      </c>
      <c r="AR32" t="s">
        <v>74</v>
      </c>
      <c r="AS32" t="s">
        <v>74</v>
      </c>
      <c r="AT32" t="s">
        <v>316</v>
      </c>
      <c r="AU32">
        <v>2025</v>
      </c>
      <c r="AV32">
        <v>734</v>
      </c>
      <c r="AW32" t="s">
        <v>74</v>
      </c>
      <c r="AX32" t="s">
        <v>74</v>
      </c>
      <c r="AY32" t="s">
        <v>74</v>
      </c>
      <c r="AZ32" t="s">
        <v>74</v>
      </c>
      <c r="BA32" t="s">
        <v>74</v>
      </c>
      <c r="BB32" t="s">
        <v>74</v>
      </c>
      <c r="BC32" t="s">
        <v>74</v>
      </c>
      <c r="BD32">
        <v>124395</v>
      </c>
      <c r="BE32" t="s">
        <v>376</v>
      </c>
      <c r="BF32" t="str">
        <f>HYPERLINK("http://dx.doi.org/10.1016/j.memsci.2025.124395","http://dx.doi.org/10.1016/j.memsci.2025.124395")</f>
        <v>http://dx.doi.org/10.1016/j.memsci.2025.124395</v>
      </c>
      <c r="BG32" t="s">
        <v>74</v>
      </c>
      <c r="BH32" t="s">
        <v>74</v>
      </c>
      <c r="BI32" t="s">
        <v>74</v>
      </c>
      <c r="BJ32" t="s">
        <v>74</v>
      </c>
      <c r="BK32" t="s">
        <v>74</v>
      </c>
      <c r="BL32" t="s">
        <v>74</v>
      </c>
      <c r="BM32" t="s">
        <v>74</v>
      </c>
      <c r="BN32" t="s">
        <v>74</v>
      </c>
      <c r="BO32" t="s">
        <v>74</v>
      </c>
      <c r="BP32" t="s">
        <v>74</v>
      </c>
      <c r="BQ32" t="s">
        <v>74</v>
      </c>
      <c r="BR32" t="s">
        <v>74</v>
      </c>
      <c r="BS32" t="s">
        <v>377</v>
      </c>
      <c r="BT32" t="str">
        <f>HYPERLINK("https%3A%2F%2Fwww.webofscience.com%2Fwos%2Fwoscc%2Ffull-record%2FWOS:001531378000003","View Full Record in Web of Science")</f>
        <v>View Full Record in Web of Science</v>
      </c>
    </row>
    <row r="33" spans="1:72" x14ac:dyDescent="0.2">
      <c r="A33" t="s">
        <v>72</v>
      </c>
      <c r="B33" t="s">
        <v>378</v>
      </c>
      <c r="C33" t="s">
        <v>74</v>
      </c>
      <c r="D33" t="s">
        <v>74</v>
      </c>
      <c r="E33" t="s">
        <v>74</v>
      </c>
      <c r="F33" t="s">
        <v>379</v>
      </c>
      <c r="G33" t="s">
        <v>74</v>
      </c>
      <c r="H33" t="s">
        <v>74</v>
      </c>
      <c r="I33" t="s">
        <v>380</v>
      </c>
      <c r="J33" t="s">
        <v>381</v>
      </c>
      <c r="K33" t="s">
        <v>74</v>
      </c>
      <c r="L33" t="s">
        <v>74</v>
      </c>
      <c r="M33" t="s">
        <v>74</v>
      </c>
      <c r="N33" t="s">
        <v>74</v>
      </c>
      <c r="O33" t="s">
        <v>74</v>
      </c>
      <c r="P33" t="s">
        <v>74</v>
      </c>
      <c r="Q33" t="s">
        <v>74</v>
      </c>
      <c r="R33" t="s">
        <v>74</v>
      </c>
      <c r="S33" t="s">
        <v>74</v>
      </c>
      <c r="T33" t="s">
        <v>74</v>
      </c>
      <c r="U33" t="s">
        <v>74</v>
      </c>
      <c r="V33" t="s">
        <v>382</v>
      </c>
      <c r="W33" t="s">
        <v>74</v>
      </c>
      <c r="X33" t="s">
        <v>74</v>
      </c>
      <c r="Y33" t="s">
        <v>74</v>
      </c>
      <c r="Z33" t="s">
        <v>74</v>
      </c>
      <c r="AA33" t="s">
        <v>383</v>
      </c>
      <c r="AB33" t="s">
        <v>74</v>
      </c>
      <c r="AC33" t="s">
        <v>74</v>
      </c>
      <c r="AD33" t="s">
        <v>74</v>
      </c>
      <c r="AE33" t="s">
        <v>74</v>
      </c>
      <c r="AF33" t="s">
        <v>74</v>
      </c>
      <c r="AG33" t="s">
        <v>74</v>
      </c>
      <c r="AH33" t="s">
        <v>74</v>
      </c>
      <c r="AI33" t="s">
        <v>74</v>
      </c>
      <c r="AJ33" t="s">
        <v>74</v>
      </c>
      <c r="AK33" t="s">
        <v>74</v>
      </c>
      <c r="AL33" t="s">
        <v>74</v>
      </c>
      <c r="AM33" t="s">
        <v>74</v>
      </c>
      <c r="AN33" t="s">
        <v>74</v>
      </c>
      <c r="AO33" t="s">
        <v>384</v>
      </c>
      <c r="AP33" t="s">
        <v>74</v>
      </c>
      <c r="AQ33" t="s">
        <v>74</v>
      </c>
      <c r="AR33" t="s">
        <v>74</v>
      </c>
      <c r="AS33" t="s">
        <v>74</v>
      </c>
      <c r="AT33" t="s">
        <v>385</v>
      </c>
      <c r="AU33">
        <v>2025</v>
      </c>
      <c r="AV33" t="s">
        <v>74</v>
      </c>
      <c r="AW33" t="s">
        <v>74</v>
      </c>
      <c r="AX33" t="s">
        <v>74</v>
      </c>
      <c r="AY33" t="s">
        <v>74</v>
      </c>
      <c r="AZ33" t="s">
        <v>74</v>
      </c>
      <c r="BA33" t="s">
        <v>74</v>
      </c>
      <c r="BB33" t="s">
        <v>74</v>
      </c>
      <c r="BC33" t="s">
        <v>74</v>
      </c>
      <c r="BD33" t="s">
        <v>74</v>
      </c>
      <c r="BE33" t="s">
        <v>386</v>
      </c>
      <c r="BF33" t="str">
        <f>HYPERLINK("http://dx.doi.org/10.1002/solr.202500608","http://dx.doi.org/10.1002/solr.202500608")</f>
        <v>http://dx.doi.org/10.1002/solr.202500608</v>
      </c>
      <c r="BG33" t="s">
        <v>74</v>
      </c>
      <c r="BH33" t="s">
        <v>387</v>
      </c>
      <c r="BI33" t="s">
        <v>74</v>
      </c>
      <c r="BJ33" t="s">
        <v>74</v>
      </c>
      <c r="BK33" t="s">
        <v>74</v>
      </c>
      <c r="BL33" t="s">
        <v>74</v>
      </c>
      <c r="BM33" t="s">
        <v>74</v>
      </c>
      <c r="BN33" t="s">
        <v>74</v>
      </c>
      <c r="BO33" t="s">
        <v>74</v>
      </c>
      <c r="BP33" t="s">
        <v>74</v>
      </c>
      <c r="BQ33" t="s">
        <v>74</v>
      </c>
      <c r="BR33" t="s">
        <v>74</v>
      </c>
      <c r="BS33" t="s">
        <v>388</v>
      </c>
      <c r="BT33" t="str">
        <f>HYPERLINK("https%3A%2F%2Fwww.webofscience.com%2Fwos%2Fwoscc%2Ffull-record%2FWOS:001583301000001","View Full Record in Web of Science")</f>
        <v>View Full Record in Web of Science</v>
      </c>
    </row>
    <row r="34" spans="1:72" x14ac:dyDescent="0.2">
      <c r="A34" t="s">
        <v>72</v>
      </c>
      <c r="B34" t="s">
        <v>389</v>
      </c>
      <c r="C34" t="s">
        <v>74</v>
      </c>
      <c r="D34" t="s">
        <v>74</v>
      </c>
      <c r="E34" t="s">
        <v>74</v>
      </c>
      <c r="F34" t="s">
        <v>390</v>
      </c>
      <c r="G34" t="s">
        <v>74</v>
      </c>
      <c r="H34" t="s">
        <v>74</v>
      </c>
      <c r="I34" t="s">
        <v>391</v>
      </c>
      <c r="J34" t="s">
        <v>392</v>
      </c>
      <c r="K34" t="s">
        <v>74</v>
      </c>
      <c r="L34" t="s">
        <v>74</v>
      </c>
      <c r="M34" t="s">
        <v>74</v>
      </c>
      <c r="N34" t="s">
        <v>74</v>
      </c>
      <c r="O34" t="s">
        <v>74</v>
      </c>
      <c r="P34" t="s">
        <v>74</v>
      </c>
      <c r="Q34" t="s">
        <v>74</v>
      </c>
      <c r="R34" t="s">
        <v>74</v>
      </c>
      <c r="S34" t="s">
        <v>74</v>
      </c>
      <c r="T34" t="s">
        <v>74</v>
      </c>
      <c r="U34" t="s">
        <v>74</v>
      </c>
      <c r="V34" t="s">
        <v>393</v>
      </c>
      <c r="W34" t="s">
        <v>74</v>
      </c>
      <c r="X34" t="s">
        <v>74</v>
      </c>
      <c r="Y34" t="s">
        <v>74</v>
      </c>
      <c r="Z34" t="s">
        <v>74</v>
      </c>
      <c r="AA34" t="s">
        <v>394</v>
      </c>
      <c r="AB34" t="s">
        <v>74</v>
      </c>
      <c r="AC34" t="s">
        <v>74</v>
      </c>
      <c r="AD34" t="s">
        <v>74</v>
      </c>
      <c r="AE34" t="s">
        <v>74</v>
      </c>
      <c r="AF34" t="s">
        <v>74</v>
      </c>
      <c r="AG34" t="s">
        <v>74</v>
      </c>
      <c r="AH34" t="s">
        <v>74</v>
      </c>
      <c r="AI34" t="s">
        <v>74</v>
      </c>
      <c r="AJ34" t="s">
        <v>74</v>
      </c>
      <c r="AK34" t="s">
        <v>74</v>
      </c>
      <c r="AL34" t="s">
        <v>74</v>
      </c>
      <c r="AM34" t="s">
        <v>74</v>
      </c>
      <c r="AN34" t="s">
        <v>74</v>
      </c>
      <c r="AO34" t="s">
        <v>395</v>
      </c>
      <c r="AP34" t="s">
        <v>396</v>
      </c>
      <c r="AQ34" t="s">
        <v>74</v>
      </c>
      <c r="AR34" t="s">
        <v>74</v>
      </c>
      <c r="AS34" t="s">
        <v>74</v>
      </c>
      <c r="AT34" t="s">
        <v>397</v>
      </c>
      <c r="AU34">
        <v>2025</v>
      </c>
      <c r="AV34" t="s">
        <v>74</v>
      </c>
      <c r="AW34" t="s">
        <v>74</v>
      </c>
      <c r="AX34" t="s">
        <v>74</v>
      </c>
      <c r="AY34" t="s">
        <v>74</v>
      </c>
      <c r="AZ34" t="s">
        <v>74</v>
      </c>
      <c r="BA34" t="s">
        <v>74</v>
      </c>
      <c r="BB34" t="s">
        <v>74</v>
      </c>
      <c r="BC34" t="s">
        <v>74</v>
      </c>
      <c r="BD34" t="s">
        <v>74</v>
      </c>
      <c r="BE34" t="s">
        <v>398</v>
      </c>
      <c r="BF34" t="str">
        <f>HYPERLINK("http://dx.doi.org/10.1002/jccs.70091","http://dx.doi.org/10.1002/jccs.70091")</f>
        <v>http://dx.doi.org/10.1002/jccs.70091</v>
      </c>
      <c r="BG34" t="s">
        <v>74</v>
      </c>
      <c r="BH34" t="s">
        <v>387</v>
      </c>
      <c r="BI34" t="s">
        <v>74</v>
      </c>
      <c r="BJ34" t="s">
        <v>74</v>
      </c>
      <c r="BK34" t="s">
        <v>74</v>
      </c>
      <c r="BL34" t="s">
        <v>74</v>
      </c>
      <c r="BM34" t="s">
        <v>74</v>
      </c>
      <c r="BN34" t="s">
        <v>74</v>
      </c>
      <c r="BO34" t="s">
        <v>74</v>
      </c>
      <c r="BP34" t="s">
        <v>74</v>
      </c>
      <c r="BQ34" t="s">
        <v>74</v>
      </c>
      <c r="BR34" t="s">
        <v>74</v>
      </c>
      <c r="BS34" t="s">
        <v>399</v>
      </c>
      <c r="BT34" t="str">
        <f>HYPERLINK("https%3A%2F%2Fwww.webofscience.com%2Fwos%2Fwoscc%2Ffull-record%2FWOS:001578991600001","View Full Record in Web of Science")</f>
        <v>View Full Record in Web of Science</v>
      </c>
    </row>
    <row r="35" spans="1:72" x14ac:dyDescent="0.2">
      <c r="A35" t="s">
        <v>72</v>
      </c>
      <c r="B35" t="s">
        <v>400</v>
      </c>
      <c r="C35" t="s">
        <v>74</v>
      </c>
      <c r="D35" t="s">
        <v>74</v>
      </c>
      <c r="E35" t="s">
        <v>74</v>
      </c>
      <c r="F35" t="s">
        <v>401</v>
      </c>
      <c r="G35" t="s">
        <v>74</v>
      </c>
      <c r="H35" t="s">
        <v>74</v>
      </c>
      <c r="I35" t="s">
        <v>402</v>
      </c>
      <c r="J35" t="s">
        <v>403</v>
      </c>
      <c r="K35" t="s">
        <v>74</v>
      </c>
      <c r="L35" t="s">
        <v>74</v>
      </c>
      <c r="M35" t="s">
        <v>74</v>
      </c>
      <c r="N35" t="s">
        <v>74</v>
      </c>
      <c r="O35" t="s">
        <v>74</v>
      </c>
      <c r="P35" t="s">
        <v>74</v>
      </c>
      <c r="Q35" t="s">
        <v>74</v>
      </c>
      <c r="R35" t="s">
        <v>74</v>
      </c>
      <c r="S35" t="s">
        <v>74</v>
      </c>
      <c r="T35" t="s">
        <v>74</v>
      </c>
      <c r="U35" t="s">
        <v>74</v>
      </c>
      <c r="V35" t="s">
        <v>404</v>
      </c>
      <c r="W35" t="s">
        <v>74</v>
      </c>
      <c r="X35" t="s">
        <v>74</v>
      </c>
      <c r="Y35" t="s">
        <v>74</v>
      </c>
      <c r="Z35" t="s">
        <v>74</v>
      </c>
      <c r="AA35" t="s">
        <v>74</v>
      </c>
      <c r="AB35" t="s">
        <v>74</v>
      </c>
      <c r="AC35" t="s">
        <v>74</v>
      </c>
      <c r="AD35" t="s">
        <v>74</v>
      </c>
      <c r="AE35" t="s">
        <v>74</v>
      </c>
      <c r="AF35" t="s">
        <v>74</v>
      </c>
      <c r="AG35" t="s">
        <v>74</v>
      </c>
      <c r="AH35" t="s">
        <v>74</v>
      </c>
      <c r="AI35" t="s">
        <v>74</v>
      </c>
      <c r="AJ35" t="s">
        <v>74</v>
      </c>
      <c r="AK35" t="s">
        <v>74</v>
      </c>
      <c r="AL35" t="s">
        <v>74</v>
      </c>
      <c r="AM35" t="s">
        <v>74</v>
      </c>
      <c r="AN35" t="s">
        <v>74</v>
      </c>
      <c r="AO35" t="s">
        <v>405</v>
      </c>
      <c r="AP35" t="s">
        <v>406</v>
      </c>
      <c r="AQ35" t="s">
        <v>74</v>
      </c>
      <c r="AR35" t="s">
        <v>74</v>
      </c>
      <c r="AS35" t="s">
        <v>74</v>
      </c>
      <c r="AT35" t="s">
        <v>407</v>
      </c>
      <c r="AU35">
        <v>2025</v>
      </c>
      <c r="AV35" t="s">
        <v>74</v>
      </c>
      <c r="AW35" t="s">
        <v>74</v>
      </c>
      <c r="AX35" t="s">
        <v>74</v>
      </c>
      <c r="AY35" t="s">
        <v>74</v>
      </c>
      <c r="AZ35" t="s">
        <v>74</v>
      </c>
      <c r="BA35" t="s">
        <v>74</v>
      </c>
      <c r="BB35" t="s">
        <v>74</v>
      </c>
      <c r="BC35" t="s">
        <v>74</v>
      </c>
      <c r="BD35" t="s">
        <v>74</v>
      </c>
      <c r="BE35" t="s">
        <v>408</v>
      </c>
      <c r="BF35" t="str">
        <f>HYPERLINK("http://dx.doi.org/10.1002/smll.202505310","http://dx.doi.org/10.1002/smll.202505310")</f>
        <v>http://dx.doi.org/10.1002/smll.202505310</v>
      </c>
      <c r="BG35" t="s">
        <v>74</v>
      </c>
      <c r="BH35" t="s">
        <v>387</v>
      </c>
      <c r="BI35" t="s">
        <v>74</v>
      </c>
      <c r="BJ35" t="s">
        <v>74</v>
      </c>
      <c r="BK35" t="s">
        <v>74</v>
      </c>
      <c r="BL35" t="s">
        <v>74</v>
      </c>
      <c r="BM35" t="s">
        <v>74</v>
      </c>
      <c r="BN35">
        <v>40990103</v>
      </c>
      <c r="BO35" t="s">
        <v>74</v>
      </c>
      <c r="BP35" t="s">
        <v>74</v>
      </c>
      <c r="BQ35" t="s">
        <v>74</v>
      </c>
      <c r="BR35" t="s">
        <v>74</v>
      </c>
      <c r="BS35" t="s">
        <v>409</v>
      </c>
      <c r="BT35" t="str">
        <f>HYPERLINK("https%3A%2F%2Fwww.webofscience.com%2Fwos%2Fwoscc%2Ffull-record%2FWOS:001577476500001","View Full Record in Web of Science")</f>
        <v>View Full Record in Web of Science</v>
      </c>
    </row>
    <row r="36" spans="1:72" x14ac:dyDescent="0.2">
      <c r="A36" t="s">
        <v>72</v>
      </c>
      <c r="B36" t="s">
        <v>410</v>
      </c>
      <c r="C36" t="s">
        <v>74</v>
      </c>
      <c r="D36" t="s">
        <v>74</v>
      </c>
      <c r="E36" t="s">
        <v>74</v>
      </c>
      <c r="F36" t="s">
        <v>411</v>
      </c>
      <c r="G36" t="s">
        <v>74</v>
      </c>
      <c r="H36" t="s">
        <v>74</v>
      </c>
      <c r="I36" t="s">
        <v>412</v>
      </c>
      <c r="J36" t="s">
        <v>413</v>
      </c>
      <c r="K36" t="s">
        <v>74</v>
      </c>
      <c r="L36" t="s">
        <v>74</v>
      </c>
      <c r="M36" t="s">
        <v>74</v>
      </c>
      <c r="N36" t="s">
        <v>74</v>
      </c>
      <c r="O36" t="s">
        <v>74</v>
      </c>
      <c r="P36" t="s">
        <v>74</v>
      </c>
      <c r="Q36" t="s">
        <v>74</v>
      </c>
      <c r="R36" t="s">
        <v>74</v>
      </c>
      <c r="S36" t="s">
        <v>74</v>
      </c>
      <c r="T36" t="s">
        <v>74</v>
      </c>
      <c r="U36" t="s">
        <v>74</v>
      </c>
      <c r="V36" t="s">
        <v>414</v>
      </c>
      <c r="W36" t="s">
        <v>74</v>
      </c>
      <c r="X36" t="s">
        <v>74</v>
      </c>
      <c r="Y36" t="s">
        <v>74</v>
      </c>
      <c r="Z36" t="s">
        <v>74</v>
      </c>
      <c r="AA36" t="s">
        <v>415</v>
      </c>
      <c r="AB36" t="s">
        <v>416</v>
      </c>
      <c r="AC36" t="s">
        <v>74</v>
      </c>
      <c r="AD36" t="s">
        <v>74</v>
      </c>
      <c r="AE36" t="s">
        <v>74</v>
      </c>
      <c r="AF36" t="s">
        <v>74</v>
      </c>
      <c r="AG36" t="s">
        <v>74</v>
      </c>
      <c r="AH36" t="s">
        <v>74</v>
      </c>
      <c r="AI36" t="s">
        <v>74</v>
      </c>
      <c r="AJ36" t="s">
        <v>74</v>
      </c>
      <c r="AK36" t="s">
        <v>74</v>
      </c>
      <c r="AL36" t="s">
        <v>74</v>
      </c>
      <c r="AM36" t="s">
        <v>74</v>
      </c>
      <c r="AN36" t="s">
        <v>74</v>
      </c>
      <c r="AO36" t="s">
        <v>417</v>
      </c>
      <c r="AP36" t="s">
        <v>418</v>
      </c>
      <c r="AQ36" t="s">
        <v>74</v>
      </c>
      <c r="AR36" t="s">
        <v>74</v>
      </c>
      <c r="AS36" t="s">
        <v>74</v>
      </c>
      <c r="AT36" t="s">
        <v>419</v>
      </c>
      <c r="AU36">
        <v>2025</v>
      </c>
      <c r="AV36" t="s">
        <v>74</v>
      </c>
      <c r="AW36" t="s">
        <v>74</v>
      </c>
      <c r="AX36" t="s">
        <v>74</v>
      </c>
      <c r="AY36" t="s">
        <v>74</v>
      </c>
      <c r="AZ36" t="s">
        <v>74</v>
      </c>
      <c r="BA36" t="s">
        <v>74</v>
      </c>
      <c r="BB36" t="s">
        <v>74</v>
      </c>
      <c r="BC36" t="s">
        <v>74</v>
      </c>
      <c r="BD36" t="s">
        <v>74</v>
      </c>
      <c r="BE36" t="s">
        <v>420</v>
      </c>
      <c r="BF36" t="str">
        <f>HYPERLINK("http://dx.doi.org/10.1021/jacs.5c11806","http://dx.doi.org/10.1021/jacs.5c11806")</f>
        <v>http://dx.doi.org/10.1021/jacs.5c11806</v>
      </c>
      <c r="BG36" t="s">
        <v>74</v>
      </c>
      <c r="BH36" t="s">
        <v>387</v>
      </c>
      <c r="BI36" t="s">
        <v>74</v>
      </c>
      <c r="BJ36" t="s">
        <v>74</v>
      </c>
      <c r="BK36" t="s">
        <v>74</v>
      </c>
      <c r="BL36" t="s">
        <v>74</v>
      </c>
      <c r="BM36" t="s">
        <v>74</v>
      </c>
      <c r="BN36">
        <v>40982655</v>
      </c>
      <c r="BO36" t="s">
        <v>74</v>
      </c>
      <c r="BP36" t="s">
        <v>74</v>
      </c>
      <c r="BQ36" t="s">
        <v>74</v>
      </c>
      <c r="BR36" t="s">
        <v>74</v>
      </c>
      <c r="BS36" t="s">
        <v>421</v>
      </c>
      <c r="BT36" t="str">
        <f>HYPERLINK("https%3A%2F%2Fwww.webofscience.com%2Fwos%2Fwoscc%2Ffull-record%2FWOS:001576245700001","View Full Record in Web of Science")</f>
        <v>View Full Record in Web of Science</v>
      </c>
    </row>
    <row r="37" spans="1:72" x14ac:dyDescent="0.2">
      <c r="A37" t="s">
        <v>72</v>
      </c>
      <c r="B37" t="s">
        <v>422</v>
      </c>
      <c r="C37" t="s">
        <v>74</v>
      </c>
      <c r="D37" t="s">
        <v>74</v>
      </c>
      <c r="E37" t="s">
        <v>74</v>
      </c>
      <c r="F37" t="s">
        <v>423</v>
      </c>
      <c r="G37" t="s">
        <v>74</v>
      </c>
      <c r="H37" t="s">
        <v>74</v>
      </c>
      <c r="I37" t="s">
        <v>424</v>
      </c>
      <c r="J37" t="s">
        <v>425</v>
      </c>
      <c r="K37" t="s">
        <v>74</v>
      </c>
      <c r="L37" t="s">
        <v>74</v>
      </c>
      <c r="M37" t="s">
        <v>74</v>
      </c>
      <c r="N37" t="s">
        <v>74</v>
      </c>
      <c r="O37" t="s">
        <v>74</v>
      </c>
      <c r="P37" t="s">
        <v>74</v>
      </c>
      <c r="Q37" t="s">
        <v>74</v>
      </c>
      <c r="R37" t="s">
        <v>74</v>
      </c>
      <c r="S37" t="s">
        <v>74</v>
      </c>
      <c r="T37" t="s">
        <v>74</v>
      </c>
      <c r="U37" t="s">
        <v>74</v>
      </c>
      <c r="V37" t="s">
        <v>426</v>
      </c>
      <c r="W37" t="s">
        <v>74</v>
      </c>
      <c r="X37" t="s">
        <v>74</v>
      </c>
      <c r="Y37" t="s">
        <v>74</v>
      </c>
      <c r="Z37" t="s">
        <v>74</v>
      </c>
      <c r="AA37" t="s">
        <v>74</v>
      </c>
      <c r="AB37" t="s">
        <v>74</v>
      </c>
      <c r="AC37" t="s">
        <v>74</v>
      </c>
      <c r="AD37" t="s">
        <v>74</v>
      </c>
      <c r="AE37" t="s">
        <v>74</v>
      </c>
      <c r="AF37" t="s">
        <v>74</v>
      </c>
      <c r="AG37" t="s">
        <v>74</v>
      </c>
      <c r="AH37" t="s">
        <v>74</v>
      </c>
      <c r="AI37" t="s">
        <v>74</v>
      </c>
      <c r="AJ37" t="s">
        <v>74</v>
      </c>
      <c r="AK37" t="s">
        <v>74</v>
      </c>
      <c r="AL37" t="s">
        <v>74</v>
      </c>
      <c r="AM37" t="s">
        <v>74</v>
      </c>
      <c r="AN37" t="s">
        <v>74</v>
      </c>
      <c r="AO37" t="s">
        <v>427</v>
      </c>
      <c r="AP37" t="s">
        <v>428</v>
      </c>
      <c r="AQ37" t="s">
        <v>74</v>
      </c>
      <c r="AR37" t="s">
        <v>74</v>
      </c>
      <c r="AS37" t="s">
        <v>74</v>
      </c>
      <c r="AT37" t="s">
        <v>419</v>
      </c>
      <c r="AU37">
        <v>2025</v>
      </c>
      <c r="AV37" t="s">
        <v>74</v>
      </c>
      <c r="AW37" t="s">
        <v>74</v>
      </c>
      <c r="AX37" t="s">
        <v>74</v>
      </c>
      <c r="AY37" t="s">
        <v>74</v>
      </c>
      <c r="AZ37" t="s">
        <v>74</v>
      </c>
      <c r="BA37" t="s">
        <v>74</v>
      </c>
      <c r="BB37" t="s">
        <v>74</v>
      </c>
      <c r="BC37" t="s">
        <v>74</v>
      </c>
      <c r="BD37" t="s">
        <v>74</v>
      </c>
      <c r="BE37" t="s">
        <v>429</v>
      </c>
      <c r="BF37" t="str">
        <f>HYPERLINK("http://dx.doi.org/10.1177/01445987251374849","http://dx.doi.org/10.1177/01445987251374849")</f>
        <v>http://dx.doi.org/10.1177/01445987251374849</v>
      </c>
      <c r="BG37" t="s">
        <v>74</v>
      </c>
      <c r="BH37" t="s">
        <v>387</v>
      </c>
      <c r="BI37" t="s">
        <v>74</v>
      </c>
      <c r="BJ37" t="s">
        <v>74</v>
      </c>
      <c r="BK37" t="s">
        <v>74</v>
      </c>
      <c r="BL37" t="s">
        <v>74</v>
      </c>
      <c r="BM37" t="s">
        <v>74</v>
      </c>
      <c r="BN37" t="s">
        <v>74</v>
      </c>
      <c r="BO37" t="s">
        <v>74</v>
      </c>
      <c r="BP37" t="s">
        <v>74</v>
      </c>
      <c r="BQ37" t="s">
        <v>74</v>
      </c>
      <c r="BR37" t="s">
        <v>74</v>
      </c>
      <c r="BS37" t="s">
        <v>430</v>
      </c>
      <c r="BT37" t="str">
        <f>HYPERLINK("https%3A%2F%2Fwww.webofscience.com%2Fwos%2Fwoscc%2Ffull-record%2FWOS:001576319000001","View Full Record in Web of Science")</f>
        <v>View Full Record in Web of Science</v>
      </c>
    </row>
    <row r="38" spans="1:72" x14ac:dyDescent="0.2">
      <c r="A38" t="s">
        <v>72</v>
      </c>
      <c r="B38" t="s">
        <v>431</v>
      </c>
      <c r="C38" t="s">
        <v>74</v>
      </c>
      <c r="D38" t="s">
        <v>74</v>
      </c>
      <c r="E38" t="s">
        <v>74</v>
      </c>
      <c r="F38" t="s">
        <v>432</v>
      </c>
      <c r="G38" t="s">
        <v>74</v>
      </c>
      <c r="H38" t="s">
        <v>74</v>
      </c>
      <c r="I38" t="s">
        <v>433</v>
      </c>
      <c r="J38" t="s">
        <v>434</v>
      </c>
      <c r="K38" t="s">
        <v>74</v>
      </c>
      <c r="L38" t="s">
        <v>74</v>
      </c>
      <c r="M38" t="s">
        <v>74</v>
      </c>
      <c r="N38" t="s">
        <v>74</v>
      </c>
      <c r="O38" t="s">
        <v>74</v>
      </c>
      <c r="P38" t="s">
        <v>74</v>
      </c>
      <c r="Q38" t="s">
        <v>74</v>
      </c>
      <c r="R38" t="s">
        <v>74</v>
      </c>
      <c r="S38" t="s">
        <v>74</v>
      </c>
      <c r="T38" t="s">
        <v>74</v>
      </c>
      <c r="U38" t="s">
        <v>74</v>
      </c>
      <c r="V38" t="s">
        <v>435</v>
      </c>
      <c r="W38" t="s">
        <v>74</v>
      </c>
      <c r="X38" t="s">
        <v>74</v>
      </c>
      <c r="Y38" t="s">
        <v>74</v>
      </c>
      <c r="Z38" t="s">
        <v>74</v>
      </c>
      <c r="AA38" t="s">
        <v>436</v>
      </c>
      <c r="AB38" t="s">
        <v>74</v>
      </c>
      <c r="AC38" t="s">
        <v>74</v>
      </c>
      <c r="AD38" t="s">
        <v>74</v>
      </c>
      <c r="AE38" t="s">
        <v>74</v>
      </c>
      <c r="AF38" t="s">
        <v>74</v>
      </c>
      <c r="AG38" t="s">
        <v>74</v>
      </c>
      <c r="AH38" t="s">
        <v>74</v>
      </c>
      <c r="AI38" t="s">
        <v>74</v>
      </c>
      <c r="AJ38" t="s">
        <v>74</v>
      </c>
      <c r="AK38" t="s">
        <v>74</v>
      </c>
      <c r="AL38" t="s">
        <v>74</v>
      </c>
      <c r="AM38" t="s">
        <v>74</v>
      </c>
      <c r="AN38" t="s">
        <v>74</v>
      </c>
      <c r="AO38" t="s">
        <v>437</v>
      </c>
      <c r="AP38" t="s">
        <v>438</v>
      </c>
      <c r="AQ38" t="s">
        <v>74</v>
      </c>
      <c r="AR38" t="s">
        <v>74</v>
      </c>
      <c r="AS38" t="s">
        <v>74</v>
      </c>
      <c r="AT38" t="s">
        <v>439</v>
      </c>
      <c r="AU38">
        <v>2025</v>
      </c>
      <c r="AV38" t="s">
        <v>74</v>
      </c>
      <c r="AW38" t="s">
        <v>74</v>
      </c>
      <c r="AX38" t="s">
        <v>74</v>
      </c>
      <c r="AY38" t="s">
        <v>74</v>
      </c>
      <c r="AZ38" t="s">
        <v>74</v>
      </c>
      <c r="BA38" t="s">
        <v>74</v>
      </c>
      <c r="BB38" t="s">
        <v>74</v>
      </c>
      <c r="BC38" t="s">
        <v>74</v>
      </c>
      <c r="BD38" t="s">
        <v>74</v>
      </c>
      <c r="BE38" t="s">
        <v>440</v>
      </c>
      <c r="BF38" t="str">
        <f>HYPERLINK("http://dx.doi.org/10.1002/app.58021","http://dx.doi.org/10.1002/app.58021")</f>
        <v>http://dx.doi.org/10.1002/app.58021</v>
      </c>
      <c r="BG38" t="s">
        <v>74</v>
      </c>
      <c r="BH38" t="s">
        <v>387</v>
      </c>
      <c r="BI38" t="s">
        <v>74</v>
      </c>
      <c r="BJ38" t="s">
        <v>74</v>
      </c>
      <c r="BK38" t="s">
        <v>74</v>
      </c>
      <c r="BL38" t="s">
        <v>74</v>
      </c>
      <c r="BM38" t="s">
        <v>74</v>
      </c>
      <c r="BN38" t="s">
        <v>74</v>
      </c>
      <c r="BO38" t="s">
        <v>74</v>
      </c>
      <c r="BP38" t="s">
        <v>74</v>
      </c>
      <c r="BQ38" t="s">
        <v>74</v>
      </c>
      <c r="BR38" t="s">
        <v>74</v>
      </c>
      <c r="BS38" t="s">
        <v>441</v>
      </c>
      <c r="BT38" t="str">
        <f>HYPERLINK("https%3A%2F%2Fwww.webofscience.com%2Fwos%2Fwoscc%2Ffull-record%2FWOS:001574905100001","View Full Record in Web of Science")</f>
        <v>View Full Record in Web of Science</v>
      </c>
    </row>
    <row r="39" spans="1:72" x14ac:dyDescent="0.2">
      <c r="A39" t="s">
        <v>72</v>
      </c>
      <c r="B39" t="s">
        <v>442</v>
      </c>
      <c r="C39" t="s">
        <v>74</v>
      </c>
      <c r="D39" t="s">
        <v>74</v>
      </c>
      <c r="E39" t="s">
        <v>74</v>
      </c>
      <c r="F39" t="s">
        <v>443</v>
      </c>
      <c r="G39" t="s">
        <v>74</v>
      </c>
      <c r="H39" t="s">
        <v>74</v>
      </c>
      <c r="I39" t="s">
        <v>444</v>
      </c>
      <c r="J39" t="s">
        <v>445</v>
      </c>
      <c r="K39" t="s">
        <v>74</v>
      </c>
      <c r="L39" t="s">
        <v>74</v>
      </c>
      <c r="M39" t="s">
        <v>74</v>
      </c>
      <c r="N39" t="s">
        <v>74</v>
      </c>
      <c r="O39" t="s">
        <v>74</v>
      </c>
      <c r="P39" t="s">
        <v>74</v>
      </c>
      <c r="Q39" t="s">
        <v>74</v>
      </c>
      <c r="R39" t="s">
        <v>74</v>
      </c>
      <c r="S39" t="s">
        <v>74</v>
      </c>
      <c r="T39" t="s">
        <v>74</v>
      </c>
      <c r="U39" t="s">
        <v>74</v>
      </c>
      <c r="V39" t="s">
        <v>446</v>
      </c>
      <c r="W39" t="s">
        <v>74</v>
      </c>
      <c r="X39" t="s">
        <v>74</v>
      </c>
      <c r="Y39" t="s">
        <v>74</v>
      </c>
      <c r="Z39" t="s">
        <v>74</v>
      </c>
      <c r="AA39" t="s">
        <v>447</v>
      </c>
      <c r="AB39" t="s">
        <v>74</v>
      </c>
      <c r="AC39" t="s">
        <v>74</v>
      </c>
      <c r="AD39" t="s">
        <v>74</v>
      </c>
      <c r="AE39" t="s">
        <v>74</v>
      </c>
      <c r="AF39" t="s">
        <v>74</v>
      </c>
      <c r="AG39" t="s">
        <v>74</v>
      </c>
      <c r="AH39" t="s">
        <v>74</v>
      </c>
      <c r="AI39" t="s">
        <v>74</v>
      </c>
      <c r="AJ39" t="s">
        <v>74</v>
      </c>
      <c r="AK39" t="s">
        <v>74</v>
      </c>
      <c r="AL39" t="s">
        <v>74</v>
      </c>
      <c r="AM39" t="s">
        <v>74</v>
      </c>
      <c r="AN39" t="s">
        <v>74</v>
      </c>
      <c r="AO39" t="s">
        <v>448</v>
      </c>
      <c r="AP39" t="s">
        <v>449</v>
      </c>
      <c r="AQ39" t="s">
        <v>74</v>
      </c>
      <c r="AR39" t="s">
        <v>74</v>
      </c>
      <c r="AS39" t="s">
        <v>74</v>
      </c>
      <c r="AT39" t="s">
        <v>450</v>
      </c>
      <c r="AU39">
        <v>2025</v>
      </c>
      <c r="AV39">
        <v>59</v>
      </c>
      <c r="AW39">
        <v>38</v>
      </c>
      <c r="AX39" t="s">
        <v>74</v>
      </c>
      <c r="AY39" t="s">
        <v>74</v>
      </c>
      <c r="AZ39" t="s">
        <v>74</v>
      </c>
      <c r="BA39" t="s">
        <v>74</v>
      </c>
      <c r="BB39">
        <v>20642</v>
      </c>
      <c r="BC39">
        <v>20652</v>
      </c>
      <c r="BD39" t="s">
        <v>74</v>
      </c>
      <c r="BE39" t="s">
        <v>451</v>
      </c>
      <c r="BF39" t="str">
        <f>HYPERLINK("http://dx.doi.org/10.1021/acs.est.5c07012","http://dx.doi.org/10.1021/acs.est.5c07012")</f>
        <v>http://dx.doi.org/10.1021/acs.est.5c07012</v>
      </c>
      <c r="BG39" t="s">
        <v>74</v>
      </c>
      <c r="BH39" t="s">
        <v>387</v>
      </c>
      <c r="BI39" t="s">
        <v>74</v>
      </c>
      <c r="BJ39" t="s">
        <v>74</v>
      </c>
      <c r="BK39" t="s">
        <v>74</v>
      </c>
      <c r="BL39" t="s">
        <v>74</v>
      </c>
      <c r="BM39" t="s">
        <v>74</v>
      </c>
      <c r="BN39">
        <v>40962281</v>
      </c>
      <c r="BO39" t="s">
        <v>74</v>
      </c>
      <c r="BP39" t="s">
        <v>74</v>
      </c>
      <c r="BQ39" t="s">
        <v>74</v>
      </c>
      <c r="BR39" t="s">
        <v>74</v>
      </c>
      <c r="BS39" t="s">
        <v>452</v>
      </c>
      <c r="BT39" t="str">
        <f>HYPERLINK("https%3A%2F%2Fwww.webofscience.com%2Fwos%2Fwoscc%2Ffull-record%2FWOS:001575496400001","View Full Record in Web of Science")</f>
        <v>View Full Record in Web of Science</v>
      </c>
    </row>
    <row r="40" spans="1:72" x14ac:dyDescent="0.2">
      <c r="A40" t="s">
        <v>72</v>
      </c>
      <c r="B40" t="s">
        <v>453</v>
      </c>
      <c r="C40" t="s">
        <v>74</v>
      </c>
      <c r="D40" t="s">
        <v>74</v>
      </c>
      <c r="E40" t="s">
        <v>74</v>
      </c>
      <c r="F40" t="s">
        <v>454</v>
      </c>
      <c r="G40" t="s">
        <v>74</v>
      </c>
      <c r="H40" t="s">
        <v>74</v>
      </c>
      <c r="I40" t="s">
        <v>455</v>
      </c>
      <c r="J40" t="s">
        <v>456</v>
      </c>
      <c r="K40" t="s">
        <v>74</v>
      </c>
      <c r="L40" t="s">
        <v>74</v>
      </c>
      <c r="M40" t="s">
        <v>74</v>
      </c>
      <c r="N40" t="s">
        <v>74</v>
      </c>
      <c r="O40" t="s">
        <v>74</v>
      </c>
      <c r="P40" t="s">
        <v>74</v>
      </c>
      <c r="Q40" t="s">
        <v>74</v>
      </c>
      <c r="R40" t="s">
        <v>74</v>
      </c>
      <c r="S40" t="s">
        <v>74</v>
      </c>
      <c r="T40" t="s">
        <v>74</v>
      </c>
      <c r="U40" t="s">
        <v>74</v>
      </c>
      <c r="V40" t="s">
        <v>457</v>
      </c>
      <c r="W40" t="s">
        <v>74</v>
      </c>
      <c r="X40" t="s">
        <v>74</v>
      </c>
      <c r="Y40" t="s">
        <v>74</v>
      </c>
      <c r="Z40" t="s">
        <v>74</v>
      </c>
      <c r="AA40" t="s">
        <v>458</v>
      </c>
      <c r="AB40" t="s">
        <v>459</v>
      </c>
      <c r="AC40" t="s">
        <v>74</v>
      </c>
      <c r="AD40" t="s">
        <v>74</v>
      </c>
      <c r="AE40" t="s">
        <v>74</v>
      </c>
      <c r="AF40" t="s">
        <v>74</v>
      </c>
      <c r="AG40" t="s">
        <v>74</v>
      </c>
      <c r="AH40" t="s">
        <v>74</v>
      </c>
      <c r="AI40" t="s">
        <v>74</v>
      </c>
      <c r="AJ40" t="s">
        <v>74</v>
      </c>
      <c r="AK40" t="s">
        <v>74</v>
      </c>
      <c r="AL40" t="s">
        <v>74</v>
      </c>
      <c r="AM40" t="s">
        <v>74</v>
      </c>
      <c r="AN40" t="s">
        <v>74</v>
      </c>
      <c r="AO40" t="s">
        <v>74</v>
      </c>
      <c r="AP40" t="s">
        <v>460</v>
      </c>
      <c r="AQ40" t="s">
        <v>74</v>
      </c>
      <c r="AR40" t="s">
        <v>74</v>
      </c>
      <c r="AS40" t="s">
        <v>74</v>
      </c>
      <c r="AT40" t="s">
        <v>461</v>
      </c>
      <c r="AU40">
        <v>2025</v>
      </c>
      <c r="AV40">
        <v>15</v>
      </c>
      <c r="AW40">
        <v>18</v>
      </c>
      <c r="AX40" t="s">
        <v>74</v>
      </c>
      <c r="AY40" t="s">
        <v>74</v>
      </c>
      <c r="AZ40" t="s">
        <v>74</v>
      </c>
      <c r="BA40" t="s">
        <v>74</v>
      </c>
      <c r="BB40" t="s">
        <v>74</v>
      </c>
      <c r="BC40" t="s">
        <v>74</v>
      </c>
      <c r="BD40">
        <v>3351</v>
      </c>
      <c r="BE40" t="s">
        <v>462</v>
      </c>
      <c r="BF40" t="str">
        <f>HYPERLINK("http://dx.doi.org/10.3390/buildings15183351","http://dx.doi.org/10.3390/buildings15183351")</f>
        <v>http://dx.doi.org/10.3390/buildings15183351</v>
      </c>
      <c r="BG40" t="s">
        <v>74</v>
      </c>
      <c r="BH40" t="s">
        <v>74</v>
      </c>
      <c r="BI40" t="s">
        <v>74</v>
      </c>
      <c r="BJ40" t="s">
        <v>74</v>
      </c>
      <c r="BK40" t="s">
        <v>74</v>
      </c>
      <c r="BL40" t="s">
        <v>74</v>
      </c>
      <c r="BM40" t="s">
        <v>74</v>
      </c>
      <c r="BN40" t="s">
        <v>74</v>
      </c>
      <c r="BO40" t="s">
        <v>74</v>
      </c>
      <c r="BP40" t="s">
        <v>74</v>
      </c>
      <c r="BQ40" t="s">
        <v>74</v>
      </c>
      <c r="BR40" t="s">
        <v>74</v>
      </c>
      <c r="BS40" t="s">
        <v>463</v>
      </c>
      <c r="BT40" t="str">
        <f>HYPERLINK("https%3A%2F%2Fwww.webofscience.com%2Fwos%2Fwoscc%2Ffull-record%2FWOS:001580657200001","View Full Record in Web of Science")</f>
        <v>View Full Record in Web of Science</v>
      </c>
    </row>
    <row r="41" spans="1:72" x14ac:dyDescent="0.2">
      <c r="A41" t="s">
        <v>72</v>
      </c>
      <c r="B41" t="s">
        <v>464</v>
      </c>
      <c r="C41" t="s">
        <v>74</v>
      </c>
      <c r="D41" t="s">
        <v>74</v>
      </c>
      <c r="E41" t="s">
        <v>74</v>
      </c>
      <c r="F41" t="s">
        <v>465</v>
      </c>
      <c r="G41" t="s">
        <v>74</v>
      </c>
      <c r="H41" t="s">
        <v>74</v>
      </c>
      <c r="I41" t="s">
        <v>466</v>
      </c>
      <c r="J41" t="s">
        <v>322</v>
      </c>
      <c r="K41" t="s">
        <v>74</v>
      </c>
      <c r="L41" t="s">
        <v>74</v>
      </c>
      <c r="M41" t="s">
        <v>74</v>
      </c>
      <c r="N41" t="s">
        <v>74</v>
      </c>
      <c r="O41" t="s">
        <v>74</v>
      </c>
      <c r="P41" t="s">
        <v>74</v>
      </c>
      <c r="Q41" t="s">
        <v>74</v>
      </c>
      <c r="R41" t="s">
        <v>74</v>
      </c>
      <c r="S41" t="s">
        <v>74</v>
      </c>
      <c r="T41" t="s">
        <v>74</v>
      </c>
      <c r="U41" t="s">
        <v>74</v>
      </c>
      <c r="V41" t="s">
        <v>467</v>
      </c>
      <c r="W41" t="s">
        <v>74</v>
      </c>
      <c r="X41" t="s">
        <v>74</v>
      </c>
      <c r="Y41" t="s">
        <v>74</v>
      </c>
      <c r="Z41" t="s">
        <v>74</v>
      </c>
      <c r="AA41" t="s">
        <v>74</v>
      </c>
      <c r="AB41" t="s">
        <v>74</v>
      </c>
      <c r="AC41" t="s">
        <v>74</v>
      </c>
      <c r="AD41" t="s">
        <v>74</v>
      </c>
      <c r="AE41" t="s">
        <v>74</v>
      </c>
      <c r="AF41" t="s">
        <v>74</v>
      </c>
      <c r="AG41" t="s">
        <v>74</v>
      </c>
      <c r="AH41" t="s">
        <v>74</v>
      </c>
      <c r="AI41" t="s">
        <v>74</v>
      </c>
      <c r="AJ41" t="s">
        <v>74</v>
      </c>
      <c r="AK41" t="s">
        <v>74</v>
      </c>
      <c r="AL41" t="s">
        <v>74</v>
      </c>
      <c r="AM41" t="s">
        <v>74</v>
      </c>
      <c r="AN41" t="s">
        <v>74</v>
      </c>
      <c r="AO41" t="s">
        <v>325</v>
      </c>
      <c r="AP41" t="s">
        <v>326</v>
      </c>
      <c r="AQ41" t="s">
        <v>74</v>
      </c>
      <c r="AR41" t="s">
        <v>74</v>
      </c>
      <c r="AS41" t="s">
        <v>74</v>
      </c>
      <c r="AT41" t="s">
        <v>156</v>
      </c>
      <c r="AU41">
        <v>2025</v>
      </c>
      <c r="AV41">
        <v>147</v>
      </c>
      <c r="AW41" t="s">
        <v>74</v>
      </c>
      <c r="AX41" t="s">
        <v>74</v>
      </c>
      <c r="AY41" t="s">
        <v>74</v>
      </c>
      <c r="AZ41" t="s">
        <v>74</v>
      </c>
      <c r="BA41" t="s">
        <v>74</v>
      </c>
      <c r="BB41" t="s">
        <v>74</v>
      </c>
      <c r="BC41" t="s">
        <v>74</v>
      </c>
      <c r="BD41">
        <v>107339</v>
      </c>
      <c r="BE41" t="s">
        <v>468</v>
      </c>
      <c r="BF41" t="str">
        <f>HYPERLINK("http://dx.doi.org/10.1016/j.orgel.2025.107339","http://dx.doi.org/10.1016/j.orgel.2025.107339")</f>
        <v>http://dx.doi.org/10.1016/j.orgel.2025.107339</v>
      </c>
      <c r="BG41" t="s">
        <v>74</v>
      </c>
      <c r="BH41" t="s">
        <v>387</v>
      </c>
      <c r="BI41" t="s">
        <v>74</v>
      </c>
      <c r="BJ41" t="s">
        <v>74</v>
      </c>
      <c r="BK41" t="s">
        <v>74</v>
      </c>
      <c r="BL41" t="s">
        <v>74</v>
      </c>
      <c r="BM41" t="s">
        <v>74</v>
      </c>
      <c r="BN41" t="s">
        <v>74</v>
      </c>
      <c r="BO41" t="s">
        <v>74</v>
      </c>
      <c r="BP41" t="s">
        <v>74</v>
      </c>
      <c r="BQ41" t="s">
        <v>74</v>
      </c>
      <c r="BR41" t="s">
        <v>74</v>
      </c>
      <c r="BS41" t="s">
        <v>469</v>
      </c>
      <c r="BT41" t="str">
        <f>HYPERLINK("https%3A%2F%2Fwww.webofscience.com%2Fwos%2Fwoscc%2Ffull-record%2FWOS:001575542700001","View Full Record in Web of Science")</f>
        <v>View Full Record in Web of Science</v>
      </c>
    </row>
    <row r="42" spans="1:72" x14ac:dyDescent="0.2">
      <c r="A42" t="s">
        <v>72</v>
      </c>
      <c r="B42" t="s">
        <v>470</v>
      </c>
      <c r="C42" t="s">
        <v>74</v>
      </c>
      <c r="D42" t="s">
        <v>74</v>
      </c>
      <c r="E42" t="s">
        <v>74</v>
      </c>
      <c r="F42" t="s">
        <v>471</v>
      </c>
      <c r="G42" t="s">
        <v>74</v>
      </c>
      <c r="H42" t="s">
        <v>74</v>
      </c>
      <c r="I42" t="s">
        <v>472</v>
      </c>
      <c r="J42" t="s">
        <v>473</v>
      </c>
      <c r="K42" t="s">
        <v>74</v>
      </c>
      <c r="L42" t="s">
        <v>74</v>
      </c>
      <c r="M42" t="s">
        <v>74</v>
      </c>
      <c r="N42" t="s">
        <v>74</v>
      </c>
      <c r="O42" t="s">
        <v>74</v>
      </c>
      <c r="P42" t="s">
        <v>74</v>
      </c>
      <c r="Q42" t="s">
        <v>74</v>
      </c>
      <c r="R42" t="s">
        <v>74</v>
      </c>
      <c r="S42" t="s">
        <v>74</v>
      </c>
      <c r="T42" t="s">
        <v>74</v>
      </c>
      <c r="U42" t="s">
        <v>74</v>
      </c>
      <c r="V42" t="s">
        <v>474</v>
      </c>
      <c r="W42" t="s">
        <v>74</v>
      </c>
      <c r="X42" t="s">
        <v>74</v>
      </c>
      <c r="Y42" t="s">
        <v>74</v>
      </c>
      <c r="Z42" t="s">
        <v>74</v>
      </c>
      <c r="AA42" t="s">
        <v>74</v>
      </c>
      <c r="AB42" t="s">
        <v>74</v>
      </c>
      <c r="AC42" t="s">
        <v>74</v>
      </c>
      <c r="AD42" t="s">
        <v>74</v>
      </c>
      <c r="AE42" t="s">
        <v>74</v>
      </c>
      <c r="AF42" t="s">
        <v>74</v>
      </c>
      <c r="AG42" t="s">
        <v>74</v>
      </c>
      <c r="AH42" t="s">
        <v>74</v>
      </c>
      <c r="AI42" t="s">
        <v>74</v>
      </c>
      <c r="AJ42" t="s">
        <v>74</v>
      </c>
      <c r="AK42" t="s">
        <v>74</v>
      </c>
      <c r="AL42" t="s">
        <v>74</v>
      </c>
      <c r="AM42" t="s">
        <v>74</v>
      </c>
      <c r="AN42" t="s">
        <v>74</v>
      </c>
      <c r="AO42" t="s">
        <v>475</v>
      </c>
      <c r="AP42" t="s">
        <v>476</v>
      </c>
      <c r="AQ42" t="s">
        <v>74</v>
      </c>
      <c r="AR42" t="s">
        <v>74</v>
      </c>
      <c r="AS42" t="s">
        <v>74</v>
      </c>
      <c r="AT42" t="s">
        <v>477</v>
      </c>
      <c r="AU42">
        <v>2025</v>
      </c>
      <c r="AV42">
        <v>993</v>
      </c>
      <c r="AW42" t="s">
        <v>74</v>
      </c>
      <c r="AX42" t="s">
        <v>74</v>
      </c>
      <c r="AY42" t="s">
        <v>74</v>
      </c>
      <c r="AZ42" t="s">
        <v>74</v>
      </c>
      <c r="BA42" t="s">
        <v>74</v>
      </c>
      <c r="BB42" t="s">
        <v>74</v>
      </c>
      <c r="BC42" t="s">
        <v>74</v>
      </c>
      <c r="BD42">
        <v>119286</v>
      </c>
      <c r="BE42" t="s">
        <v>478</v>
      </c>
      <c r="BF42" t="str">
        <f>HYPERLINK("http://dx.doi.org/10.1016/j.jelechem.2025.119286","http://dx.doi.org/10.1016/j.jelechem.2025.119286")</f>
        <v>http://dx.doi.org/10.1016/j.jelechem.2025.119286</v>
      </c>
      <c r="BG42" t="s">
        <v>74</v>
      </c>
      <c r="BH42" t="s">
        <v>74</v>
      </c>
      <c r="BI42" t="s">
        <v>74</v>
      </c>
      <c r="BJ42" t="s">
        <v>74</v>
      </c>
      <c r="BK42" t="s">
        <v>74</v>
      </c>
      <c r="BL42" t="s">
        <v>74</v>
      </c>
      <c r="BM42" t="s">
        <v>74</v>
      </c>
      <c r="BN42" t="s">
        <v>74</v>
      </c>
      <c r="BO42" t="s">
        <v>74</v>
      </c>
      <c r="BP42" t="s">
        <v>74</v>
      </c>
      <c r="BQ42" t="s">
        <v>74</v>
      </c>
      <c r="BR42" t="s">
        <v>74</v>
      </c>
      <c r="BS42" t="s">
        <v>479</v>
      </c>
      <c r="BT42" t="str">
        <f>HYPERLINK("https%3A%2F%2Fwww.webofscience.com%2Fwos%2Fwoscc%2Ffull-record%2FWOS:001524218300001","View Full Record in Web of Science")</f>
        <v>View Full Record in Web of Science</v>
      </c>
    </row>
    <row r="43" spans="1:72" x14ac:dyDescent="0.2">
      <c r="A43" t="s">
        <v>72</v>
      </c>
      <c r="B43" t="s">
        <v>480</v>
      </c>
      <c r="C43" t="s">
        <v>74</v>
      </c>
      <c r="D43" t="s">
        <v>74</v>
      </c>
      <c r="E43" t="s">
        <v>74</v>
      </c>
      <c r="F43" t="s">
        <v>481</v>
      </c>
      <c r="G43" t="s">
        <v>74</v>
      </c>
      <c r="H43" t="s">
        <v>74</v>
      </c>
      <c r="I43" t="s">
        <v>482</v>
      </c>
      <c r="J43" t="s">
        <v>483</v>
      </c>
      <c r="K43" t="s">
        <v>74</v>
      </c>
      <c r="L43" t="s">
        <v>74</v>
      </c>
      <c r="M43" t="s">
        <v>74</v>
      </c>
      <c r="N43" t="s">
        <v>74</v>
      </c>
      <c r="O43" t="s">
        <v>74</v>
      </c>
      <c r="P43" t="s">
        <v>74</v>
      </c>
      <c r="Q43" t="s">
        <v>74</v>
      </c>
      <c r="R43" t="s">
        <v>74</v>
      </c>
      <c r="S43" t="s">
        <v>74</v>
      </c>
      <c r="T43" t="s">
        <v>74</v>
      </c>
      <c r="U43" t="s">
        <v>74</v>
      </c>
      <c r="V43" t="s">
        <v>484</v>
      </c>
      <c r="W43" t="s">
        <v>74</v>
      </c>
      <c r="X43" t="s">
        <v>74</v>
      </c>
      <c r="Y43" t="s">
        <v>74</v>
      </c>
      <c r="Z43" t="s">
        <v>74</v>
      </c>
      <c r="AA43" t="s">
        <v>74</v>
      </c>
      <c r="AB43" t="s">
        <v>74</v>
      </c>
      <c r="AC43" t="s">
        <v>74</v>
      </c>
      <c r="AD43" t="s">
        <v>74</v>
      </c>
      <c r="AE43" t="s">
        <v>74</v>
      </c>
      <c r="AF43" t="s">
        <v>74</v>
      </c>
      <c r="AG43" t="s">
        <v>74</v>
      </c>
      <c r="AH43" t="s">
        <v>74</v>
      </c>
      <c r="AI43" t="s">
        <v>74</v>
      </c>
      <c r="AJ43" t="s">
        <v>74</v>
      </c>
      <c r="AK43" t="s">
        <v>74</v>
      </c>
      <c r="AL43" t="s">
        <v>74</v>
      </c>
      <c r="AM43" t="s">
        <v>74</v>
      </c>
      <c r="AN43" t="s">
        <v>74</v>
      </c>
      <c r="AO43" t="s">
        <v>485</v>
      </c>
      <c r="AP43" t="s">
        <v>486</v>
      </c>
      <c r="AQ43" t="s">
        <v>74</v>
      </c>
      <c r="AR43" t="s">
        <v>74</v>
      </c>
      <c r="AS43" t="s">
        <v>74</v>
      </c>
      <c r="AT43" t="s">
        <v>477</v>
      </c>
      <c r="AU43">
        <v>2025</v>
      </c>
      <c r="AV43">
        <v>284</v>
      </c>
      <c r="AW43" t="s">
        <v>74</v>
      </c>
      <c r="AX43" t="s">
        <v>74</v>
      </c>
      <c r="AY43" t="s">
        <v>74</v>
      </c>
      <c r="AZ43" t="s">
        <v>74</v>
      </c>
      <c r="BA43" t="s">
        <v>74</v>
      </c>
      <c r="BB43" t="s">
        <v>74</v>
      </c>
      <c r="BC43" t="s">
        <v>74</v>
      </c>
      <c r="BD43">
        <v>124044</v>
      </c>
      <c r="BE43" t="s">
        <v>487</v>
      </c>
      <c r="BF43" t="str">
        <f>HYPERLINK("http://dx.doi.org/10.1016/j.watres.2025.124044","http://dx.doi.org/10.1016/j.watres.2025.124044")</f>
        <v>http://dx.doi.org/10.1016/j.watres.2025.124044</v>
      </c>
      <c r="BG43" t="s">
        <v>74</v>
      </c>
      <c r="BH43" t="s">
        <v>74</v>
      </c>
      <c r="BI43" t="s">
        <v>74</v>
      </c>
      <c r="BJ43" t="s">
        <v>74</v>
      </c>
      <c r="BK43" t="s">
        <v>74</v>
      </c>
      <c r="BL43" t="s">
        <v>74</v>
      </c>
      <c r="BM43" t="s">
        <v>74</v>
      </c>
      <c r="BN43">
        <v>40543328</v>
      </c>
      <c r="BO43" t="s">
        <v>74</v>
      </c>
      <c r="BP43" t="s">
        <v>74</v>
      </c>
      <c r="BQ43" t="s">
        <v>74</v>
      </c>
      <c r="BR43" t="s">
        <v>74</v>
      </c>
      <c r="BS43" t="s">
        <v>488</v>
      </c>
      <c r="BT43" t="str">
        <f>HYPERLINK("https%3A%2F%2Fwww.webofscience.com%2Fwos%2Fwoscc%2Ffull-record%2FWOS:001519115700002","View Full Record in Web of Science")</f>
        <v>View Full Record in Web of Science</v>
      </c>
    </row>
    <row r="44" spans="1:72" x14ac:dyDescent="0.2">
      <c r="A44" t="s">
        <v>72</v>
      </c>
      <c r="B44" t="s">
        <v>489</v>
      </c>
      <c r="C44" t="s">
        <v>74</v>
      </c>
      <c r="D44" t="s">
        <v>74</v>
      </c>
      <c r="E44" t="s">
        <v>74</v>
      </c>
      <c r="F44" t="s">
        <v>490</v>
      </c>
      <c r="G44" t="s">
        <v>74</v>
      </c>
      <c r="H44" t="s">
        <v>74</v>
      </c>
      <c r="I44" t="s">
        <v>491</v>
      </c>
      <c r="J44" t="s">
        <v>342</v>
      </c>
      <c r="K44" t="s">
        <v>74</v>
      </c>
      <c r="L44" t="s">
        <v>74</v>
      </c>
      <c r="M44" t="s">
        <v>74</v>
      </c>
      <c r="N44" t="s">
        <v>74</v>
      </c>
      <c r="O44" t="s">
        <v>74</v>
      </c>
      <c r="P44" t="s">
        <v>74</v>
      </c>
      <c r="Q44" t="s">
        <v>74</v>
      </c>
      <c r="R44" t="s">
        <v>74</v>
      </c>
      <c r="S44" t="s">
        <v>74</v>
      </c>
      <c r="T44" t="s">
        <v>74</v>
      </c>
      <c r="U44" t="s">
        <v>74</v>
      </c>
      <c r="V44" t="s">
        <v>492</v>
      </c>
      <c r="W44" t="s">
        <v>74</v>
      </c>
      <c r="X44" t="s">
        <v>74</v>
      </c>
      <c r="Y44" t="s">
        <v>74</v>
      </c>
      <c r="Z44" t="s">
        <v>74</v>
      </c>
      <c r="AA44" t="s">
        <v>74</v>
      </c>
      <c r="AB44" t="s">
        <v>74</v>
      </c>
      <c r="AC44" t="s">
        <v>74</v>
      </c>
      <c r="AD44" t="s">
        <v>74</v>
      </c>
      <c r="AE44" t="s">
        <v>74</v>
      </c>
      <c r="AF44" t="s">
        <v>74</v>
      </c>
      <c r="AG44" t="s">
        <v>74</v>
      </c>
      <c r="AH44" t="s">
        <v>74</v>
      </c>
      <c r="AI44" t="s">
        <v>74</v>
      </c>
      <c r="AJ44" t="s">
        <v>74</v>
      </c>
      <c r="AK44" t="s">
        <v>74</v>
      </c>
      <c r="AL44" t="s">
        <v>74</v>
      </c>
      <c r="AM44" t="s">
        <v>74</v>
      </c>
      <c r="AN44" t="s">
        <v>74</v>
      </c>
      <c r="AO44" t="s">
        <v>345</v>
      </c>
      <c r="AP44" t="s">
        <v>346</v>
      </c>
      <c r="AQ44" t="s">
        <v>74</v>
      </c>
      <c r="AR44" t="s">
        <v>74</v>
      </c>
      <c r="AS44" t="s">
        <v>74</v>
      </c>
      <c r="AT44" t="s">
        <v>477</v>
      </c>
      <c r="AU44">
        <v>2025</v>
      </c>
      <c r="AV44">
        <v>520</v>
      </c>
      <c r="AW44" t="s">
        <v>74</v>
      </c>
      <c r="AX44" t="s">
        <v>74</v>
      </c>
      <c r="AY44" t="s">
        <v>74</v>
      </c>
      <c r="AZ44" t="s">
        <v>74</v>
      </c>
      <c r="BA44" t="s">
        <v>74</v>
      </c>
      <c r="BB44" t="s">
        <v>74</v>
      </c>
      <c r="BC44" t="s">
        <v>74</v>
      </c>
      <c r="BD44">
        <v>166498</v>
      </c>
      <c r="BE44" t="s">
        <v>493</v>
      </c>
      <c r="BF44" t="str">
        <f>HYPERLINK("http://dx.doi.org/10.1016/j.cej.2025.166498","http://dx.doi.org/10.1016/j.cej.2025.166498")</f>
        <v>http://dx.doi.org/10.1016/j.cej.2025.166498</v>
      </c>
      <c r="BG44" t="s">
        <v>74</v>
      </c>
      <c r="BH44" t="s">
        <v>74</v>
      </c>
      <c r="BI44" t="s">
        <v>74</v>
      </c>
      <c r="BJ44" t="s">
        <v>74</v>
      </c>
      <c r="BK44" t="s">
        <v>74</v>
      </c>
      <c r="BL44" t="s">
        <v>74</v>
      </c>
      <c r="BM44" t="s">
        <v>74</v>
      </c>
      <c r="BN44" t="s">
        <v>74</v>
      </c>
      <c r="BO44" t="s">
        <v>74</v>
      </c>
      <c r="BP44" t="s">
        <v>74</v>
      </c>
      <c r="BQ44" t="s">
        <v>74</v>
      </c>
      <c r="BR44" t="s">
        <v>74</v>
      </c>
      <c r="BS44" t="s">
        <v>494</v>
      </c>
      <c r="BT44" t="str">
        <f>HYPERLINK("https%3A%2F%2Fwww.webofscience.com%2Fwos%2Fwoscc%2Ffull-record%2FWOS:001550410500005","View Full Record in Web of Science")</f>
        <v>View Full Record in Web of Science</v>
      </c>
    </row>
    <row r="45" spans="1:72" x14ac:dyDescent="0.2">
      <c r="A45" t="s">
        <v>72</v>
      </c>
      <c r="B45" t="s">
        <v>495</v>
      </c>
      <c r="C45" t="s">
        <v>74</v>
      </c>
      <c r="D45" t="s">
        <v>74</v>
      </c>
      <c r="E45" t="s">
        <v>74</v>
      </c>
      <c r="F45" t="s">
        <v>496</v>
      </c>
      <c r="G45" t="s">
        <v>74</v>
      </c>
      <c r="H45" t="s">
        <v>74</v>
      </c>
      <c r="I45" t="s">
        <v>497</v>
      </c>
      <c r="J45" t="s">
        <v>498</v>
      </c>
      <c r="K45" t="s">
        <v>74</v>
      </c>
      <c r="L45" t="s">
        <v>74</v>
      </c>
      <c r="M45" t="s">
        <v>74</v>
      </c>
      <c r="N45" t="s">
        <v>74</v>
      </c>
      <c r="O45" t="s">
        <v>74</v>
      </c>
      <c r="P45" t="s">
        <v>74</v>
      </c>
      <c r="Q45" t="s">
        <v>74</v>
      </c>
      <c r="R45" t="s">
        <v>74</v>
      </c>
      <c r="S45" t="s">
        <v>74</v>
      </c>
      <c r="T45" t="s">
        <v>74</v>
      </c>
      <c r="U45" t="s">
        <v>74</v>
      </c>
      <c r="V45" t="s">
        <v>499</v>
      </c>
      <c r="W45" t="s">
        <v>74</v>
      </c>
      <c r="X45" t="s">
        <v>74</v>
      </c>
      <c r="Y45" t="s">
        <v>74</v>
      </c>
      <c r="Z45" t="s">
        <v>74</v>
      </c>
      <c r="AA45" t="s">
        <v>500</v>
      </c>
      <c r="AB45" t="s">
        <v>501</v>
      </c>
      <c r="AC45" t="s">
        <v>74</v>
      </c>
      <c r="AD45" t="s">
        <v>74</v>
      </c>
      <c r="AE45" t="s">
        <v>74</v>
      </c>
      <c r="AF45" t="s">
        <v>74</v>
      </c>
      <c r="AG45" t="s">
        <v>74</v>
      </c>
      <c r="AH45" t="s">
        <v>74</v>
      </c>
      <c r="AI45" t="s">
        <v>74</v>
      </c>
      <c r="AJ45" t="s">
        <v>74</v>
      </c>
      <c r="AK45" t="s">
        <v>74</v>
      </c>
      <c r="AL45" t="s">
        <v>74</v>
      </c>
      <c r="AM45" t="s">
        <v>74</v>
      </c>
      <c r="AN45" t="s">
        <v>74</v>
      </c>
      <c r="AO45" t="s">
        <v>502</v>
      </c>
      <c r="AP45" t="s">
        <v>503</v>
      </c>
      <c r="AQ45" t="s">
        <v>74</v>
      </c>
      <c r="AR45" t="s">
        <v>74</v>
      </c>
      <c r="AS45" t="s">
        <v>74</v>
      </c>
      <c r="AT45" t="s">
        <v>504</v>
      </c>
      <c r="AU45">
        <v>2025</v>
      </c>
      <c r="AV45">
        <v>37</v>
      </c>
      <c r="AW45">
        <v>19</v>
      </c>
      <c r="AX45" t="s">
        <v>74</v>
      </c>
      <c r="AY45" t="s">
        <v>74</v>
      </c>
      <c r="AZ45" t="s">
        <v>74</v>
      </c>
      <c r="BA45" t="s">
        <v>74</v>
      </c>
      <c r="BB45">
        <v>7804</v>
      </c>
      <c r="BC45">
        <v>7812</v>
      </c>
      <c r="BD45" t="s">
        <v>74</v>
      </c>
      <c r="BE45" t="s">
        <v>505</v>
      </c>
      <c r="BF45" t="str">
        <f>HYPERLINK("http://dx.doi.org/10.1021/acs.chemmater.5c01388","http://dx.doi.org/10.1021/acs.chemmater.5c01388")</f>
        <v>http://dx.doi.org/10.1021/acs.chemmater.5c01388</v>
      </c>
      <c r="BG45" t="s">
        <v>74</v>
      </c>
      <c r="BH45" t="s">
        <v>387</v>
      </c>
      <c r="BI45" t="s">
        <v>74</v>
      </c>
      <c r="BJ45" t="s">
        <v>74</v>
      </c>
      <c r="BK45" t="s">
        <v>74</v>
      </c>
      <c r="BL45" t="s">
        <v>74</v>
      </c>
      <c r="BM45" t="s">
        <v>74</v>
      </c>
      <c r="BN45">
        <v>41113096</v>
      </c>
      <c r="BO45" t="s">
        <v>74</v>
      </c>
      <c r="BP45" t="s">
        <v>74</v>
      </c>
      <c r="BQ45" t="s">
        <v>74</v>
      </c>
      <c r="BR45" t="s">
        <v>74</v>
      </c>
      <c r="BS45" t="s">
        <v>506</v>
      </c>
      <c r="BT45" t="str">
        <f>HYPERLINK("https%3A%2F%2Fwww.webofscience.com%2Fwos%2Fwoscc%2Ffull-record%2FWOS:001571596900001","View Full Record in Web of Science")</f>
        <v>View Full Record in Web of Science</v>
      </c>
    </row>
    <row r="46" spans="1:72" x14ac:dyDescent="0.2">
      <c r="A46" t="s">
        <v>72</v>
      </c>
      <c r="B46" t="s">
        <v>507</v>
      </c>
      <c r="C46" t="s">
        <v>74</v>
      </c>
      <c r="D46" t="s">
        <v>74</v>
      </c>
      <c r="E46" t="s">
        <v>74</v>
      </c>
      <c r="F46" t="s">
        <v>508</v>
      </c>
      <c r="G46" t="s">
        <v>74</v>
      </c>
      <c r="H46" t="s">
        <v>74</v>
      </c>
      <c r="I46" t="s">
        <v>509</v>
      </c>
      <c r="J46" t="s">
        <v>510</v>
      </c>
      <c r="K46" t="s">
        <v>74</v>
      </c>
      <c r="L46" t="s">
        <v>74</v>
      </c>
      <c r="M46" t="s">
        <v>74</v>
      </c>
      <c r="N46" t="s">
        <v>74</v>
      </c>
      <c r="O46" t="s">
        <v>74</v>
      </c>
      <c r="P46" t="s">
        <v>74</v>
      </c>
      <c r="Q46" t="s">
        <v>74</v>
      </c>
      <c r="R46" t="s">
        <v>74</v>
      </c>
      <c r="S46" t="s">
        <v>74</v>
      </c>
      <c r="T46" t="s">
        <v>74</v>
      </c>
      <c r="U46" t="s">
        <v>74</v>
      </c>
      <c r="V46" t="s">
        <v>511</v>
      </c>
      <c r="W46" t="s">
        <v>74</v>
      </c>
      <c r="X46" t="s">
        <v>74</v>
      </c>
      <c r="Y46" t="s">
        <v>74</v>
      </c>
      <c r="Z46" t="s">
        <v>74</v>
      </c>
      <c r="AA46" t="s">
        <v>512</v>
      </c>
      <c r="AB46" t="s">
        <v>74</v>
      </c>
      <c r="AC46" t="s">
        <v>74</v>
      </c>
      <c r="AD46" t="s">
        <v>74</v>
      </c>
      <c r="AE46" t="s">
        <v>74</v>
      </c>
      <c r="AF46" t="s">
        <v>74</v>
      </c>
      <c r="AG46" t="s">
        <v>74</v>
      </c>
      <c r="AH46" t="s">
        <v>74</v>
      </c>
      <c r="AI46" t="s">
        <v>74</v>
      </c>
      <c r="AJ46" t="s">
        <v>74</v>
      </c>
      <c r="AK46" t="s">
        <v>74</v>
      </c>
      <c r="AL46" t="s">
        <v>74</v>
      </c>
      <c r="AM46" t="s">
        <v>74</v>
      </c>
      <c r="AN46" t="s">
        <v>74</v>
      </c>
      <c r="AO46" t="s">
        <v>74</v>
      </c>
      <c r="AP46" t="s">
        <v>513</v>
      </c>
      <c r="AQ46" t="s">
        <v>74</v>
      </c>
      <c r="AR46" t="s">
        <v>74</v>
      </c>
      <c r="AS46" t="s">
        <v>74</v>
      </c>
      <c r="AT46" t="s">
        <v>514</v>
      </c>
      <c r="AU46">
        <v>2025</v>
      </c>
      <c r="AV46" t="s">
        <v>74</v>
      </c>
      <c r="AW46" t="s">
        <v>74</v>
      </c>
      <c r="AX46" t="s">
        <v>74</v>
      </c>
      <c r="AY46" t="s">
        <v>74</v>
      </c>
      <c r="AZ46" t="s">
        <v>74</v>
      </c>
      <c r="BA46" t="s">
        <v>74</v>
      </c>
      <c r="BB46" t="s">
        <v>74</v>
      </c>
      <c r="BC46" t="s">
        <v>74</v>
      </c>
      <c r="BD46" t="s">
        <v>515</v>
      </c>
      <c r="BE46" t="s">
        <v>516</v>
      </c>
      <c r="BF46" t="str">
        <f>HYPERLINK("http://dx.doi.org/10.1002/agt2.70158","http://dx.doi.org/10.1002/agt2.70158")</f>
        <v>http://dx.doi.org/10.1002/agt2.70158</v>
      </c>
      <c r="BG46" t="s">
        <v>74</v>
      </c>
      <c r="BH46" t="s">
        <v>387</v>
      </c>
      <c r="BI46" t="s">
        <v>74</v>
      </c>
      <c r="BJ46" t="s">
        <v>74</v>
      </c>
      <c r="BK46" t="s">
        <v>74</v>
      </c>
      <c r="BL46" t="s">
        <v>74</v>
      </c>
      <c r="BM46" t="s">
        <v>74</v>
      </c>
      <c r="BN46" t="s">
        <v>74</v>
      </c>
      <c r="BO46" t="s">
        <v>74</v>
      </c>
      <c r="BP46" t="s">
        <v>74</v>
      </c>
      <c r="BQ46" t="s">
        <v>74</v>
      </c>
      <c r="BR46" t="s">
        <v>74</v>
      </c>
      <c r="BS46" t="s">
        <v>517</v>
      </c>
      <c r="BT46" t="str">
        <f>HYPERLINK("https%3A%2F%2Fwww.webofscience.com%2Fwos%2Fwoscc%2Ffull-record%2FWOS:001568004200001","View Full Record in Web of Science")</f>
        <v>View Full Record in Web of Science</v>
      </c>
    </row>
    <row r="47" spans="1:72" x14ac:dyDescent="0.2">
      <c r="A47" t="s">
        <v>72</v>
      </c>
      <c r="B47" t="s">
        <v>518</v>
      </c>
      <c r="C47" t="s">
        <v>74</v>
      </c>
      <c r="D47" t="s">
        <v>74</v>
      </c>
      <c r="E47" t="s">
        <v>74</v>
      </c>
      <c r="F47" t="s">
        <v>519</v>
      </c>
      <c r="G47" t="s">
        <v>74</v>
      </c>
      <c r="H47" t="s">
        <v>74</v>
      </c>
      <c r="I47" t="s">
        <v>520</v>
      </c>
      <c r="J47" t="s">
        <v>521</v>
      </c>
      <c r="K47" t="s">
        <v>74</v>
      </c>
      <c r="L47" t="s">
        <v>74</v>
      </c>
      <c r="M47" t="s">
        <v>74</v>
      </c>
      <c r="N47" t="s">
        <v>74</v>
      </c>
      <c r="O47" t="s">
        <v>74</v>
      </c>
      <c r="P47" t="s">
        <v>74</v>
      </c>
      <c r="Q47" t="s">
        <v>74</v>
      </c>
      <c r="R47" t="s">
        <v>74</v>
      </c>
      <c r="S47" t="s">
        <v>74</v>
      </c>
      <c r="T47" t="s">
        <v>74</v>
      </c>
      <c r="U47" t="s">
        <v>74</v>
      </c>
      <c r="V47" t="s">
        <v>522</v>
      </c>
      <c r="W47" t="s">
        <v>74</v>
      </c>
      <c r="X47" t="s">
        <v>74</v>
      </c>
      <c r="Y47" t="s">
        <v>74</v>
      </c>
      <c r="Z47" t="s">
        <v>74</v>
      </c>
      <c r="AA47" t="s">
        <v>74</v>
      </c>
      <c r="AB47" t="s">
        <v>74</v>
      </c>
      <c r="AC47" t="s">
        <v>74</v>
      </c>
      <c r="AD47" t="s">
        <v>74</v>
      </c>
      <c r="AE47" t="s">
        <v>74</v>
      </c>
      <c r="AF47" t="s">
        <v>74</v>
      </c>
      <c r="AG47" t="s">
        <v>74</v>
      </c>
      <c r="AH47" t="s">
        <v>74</v>
      </c>
      <c r="AI47" t="s">
        <v>74</v>
      </c>
      <c r="AJ47" t="s">
        <v>74</v>
      </c>
      <c r="AK47" t="s">
        <v>74</v>
      </c>
      <c r="AL47" t="s">
        <v>74</v>
      </c>
      <c r="AM47" t="s">
        <v>74</v>
      </c>
      <c r="AN47" t="s">
        <v>74</v>
      </c>
      <c r="AO47" t="s">
        <v>523</v>
      </c>
      <c r="AP47" t="s">
        <v>524</v>
      </c>
      <c r="AQ47" t="s">
        <v>74</v>
      </c>
      <c r="AR47" t="s">
        <v>74</v>
      </c>
      <c r="AS47" t="s">
        <v>74</v>
      </c>
      <c r="AT47" t="s">
        <v>504</v>
      </c>
      <c r="AU47">
        <v>2025</v>
      </c>
      <c r="AV47">
        <v>16</v>
      </c>
      <c r="AW47">
        <v>40</v>
      </c>
      <c r="AX47" t="s">
        <v>74</v>
      </c>
      <c r="AY47" t="s">
        <v>74</v>
      </c>
      <c r="AZ47" t="s">
        <v>74</v>
      </c>
      <c r="BA47" t="s">
        <v>74</v>
      </c>
      <c r="BB47">
        <v>4401</v>
      </c>
      <c r="BC47">
        <v>4409</v>
      </c>
      <c r="BD47" t="s">
        <v>74</v>
      </c>
      <c r="BE47" t="s">
        <v>525</v>
      </c>
      <c r="BF47" t="str">
        <f>HYPERLINK("http://dx.doi.org/10.1039/d5py00772k","http://dx.doi.org/10.1039/d5py00772k")</f>
        <v>http://dx.doi.org/10.1039/d5py00772k</v>
      </c>
      <c r="BG47" t="s">
        <v>74</v>
      </c>
      <c r="BH47" t="s">
        <v>387</v>
      </c>
      <c r="BI47" t="s">
        <v>74</v>
      </c>
      <c r="BJ47" t="s">
        <v>74</v>
      </c>
      <c r="BK47" t="s">
        <v>74</v>
      </c>
      <c r="BL47" t="s">
        <v>74</v>
      </c>
      <c r="BM47" t="s">
        <v>74</v>
      </c>
      <c r="BN47" t="s">
        <v>74</v>
      </c>
      <c r="BO47" t="s">
        <v>74</v>
      </c>
      <c r="BP47" t="s">
        <v>74</v>
      </c>
      <c r="BQ47" t="s">
        <v>74</v>
      </c>
      <c r="BR47" t="s">
        <v>74</v>
      </c>
      <c r="BS47" t="s">
        <v>526</v>
      </c>
      <c r="BT47" t="str">
        <f>HYPERLINK("https%3A%2F%2Fwww.webofscience.com%2Fwos%2Fwoscc%2Ffull-record%2FWOS:001571759500001","View Full Record in Web of Science")</f>
        <v>View Full Record in Web of Science</v>
      </c>
    </row>
    <row r="48" spans="1:72" x14ac:dyDescent="0.2">
      <c r="A48" t="s">
        <v>72</v>
      </c>
      <c r="B48" t="s">
        <v>527</v>
      </c>
      <c r="C48" t="s">
        <v>74</v>
      </c>
      <c r="D48" t="s">
        <v>74</v>
      </c>
      <c r="E48" t="s">
        <v>74</v>
      </c>
      <c r="F48" t="s">
        <v>528</v>
      </c>
      <c r="G48" t="s">
        <v>74</v>
      </c>
      <c r="H48" t="s">
        <v>74</v>
      </c>
      <c r="I48" t="s">
        <v>529</v>
      </c>
      <c r="J48" t="s">
        <v>530</v>
      </c>
      <c r="K48" t="s">
        <v>74</v>
      </c>
      <c r="L48" t="s">
        <v>74</v>
      </c>
      <c r="M48" t="s">
        <v>74</v>
      </c>
      <c r="N48" t="s">
        <v>74</v>
      </c>
      <c r="O48" t="s">
        <v>74</v>
      </c>
      <c r="P48" t="s">
        <v>74</v>
      </c>
      <c r="Q48" t="s">
        <v>74</v>
      </c>
      <c r="R48" t="s">
        <v>74</v>
      </c>
      <c r="S48" t="s">
        <v>74</v>
      </c>
      <c r="T48" t="s">
        <v>74</v>
      </c>
      <c r="U48" t="s">
        <v>74</v>
      </c>
      <c r="V48" t="s">
        <v>531</v>
      </c>
      <c r="W48" t="s">
        <v>74</v>
      </c>
      <c r="X48" t="s">
        <v>74</v>
      </c>
      <c r="Y48" t="s">
        <v>74</v>
      </c>
      <c r="Z48" t="s">
        <v>74</v>
      </c>
      <c r="AA48" t="s">
        <v>532</v>
      </c>
      <c r="AB48" t="s">
        <v>74</v>
      </c>
      <c r="AC48" t="s">
        <v>74</v>
      </c>
      <c r="AD48" t="s">
        <v>74</v>
      </c>
      <c r="AE48" t="s">
        <v>74</v>
      </c>
      <c r="AF48" t="s">
        <v>74</v>
      </c>
      <c r="AG48" t="s">
        <v>74</v>
      </c>
      <c r="AH48" t="s">
        <v>74</v>
      </c>
      <c r="AI48" t="s">
        <v>74</v>
      </c>
      <c r="AJ48" t="s">
        <v>74</v>
      </c>
      <c r="AK48" t="s">
        <v>74</v>
      </c>
      <c r="AL48" t="s">
        <v>74</v>
      </c>
      <c r="AM48" t="s">
        <v>74</v>
      </c>
      <c r="AN48" t="s">
        <v>74</v>
      </c>
      <c r="AO48" t="s">
        <v>533</v>
      </c>
      <c r="AP48" t="s">
        <v>534</v>
      </c>
      <c r="AQ48" t="s">
        <v>74</v>
      </c>
      <c r="AR48" t="s">
        <v>74</v>
      </c>
      <c r="AS48" t="s">
        <v>74</v>
      </c>
      <c r="AT48" t="s">
        <v>535</v>
      </c>
      <c r="AU48">
        <v>2025</v>
      </c>
      <c r="AV48" t="s">
        <v>74</v>
      </c>
      <c r="AW48" t="s">
        <v>74</v>
      </c>
      <c r="AX48" t="s">
        <v>74</v>
      </c>
      <c r="AY48" t="s">
        <v>74</v>
      </c>
      <c r="AZ48" t="s">
        <v>74</v>
      </c>
      <c r="BA48" t="s">
        <v>74</v>
      </c>
      <c r="BB48" t="s">
        <v>74</v>
      </c>
      <c r="BC48" t="s">
        <v>74</v>
      </c>
      <c r="BD48" t="s">
        <v>74</v>
      </c>
      <c r="BE48" t="s">
        <v>536</v>
      </c>
      <c r="BF48" t="str">
        <f>HYPERLINK("http://dx.doi.org/10.1039/d5ta04977f","http://dx.doi.org/10.1039/d5ta04977f")</f>
        <v>http://dx.doi.org/10.1039/d5ta04977f</v>
      </c>
      <c r="BG48" t="s">
        <v>74</v>
      </c>
      <c r="BH48" t="s">
        <v>387</v>
      </c>
      <c r="BI48" t="s">
        <v>74</v>
      </c>
      <c r="BJ48" t="s">
        <v>74</v>
      </c>
      <c r="BK48" t="s">
        <v>74</v>
      </c>
      <c r="BL48" t="s">
        <v>74</v>
      </c>
      <c r="BM48" t="s">
        <v>74</v>
      </c>
      <c r="BN48" t="s">
        <v>74</v>
      </c>
      <c r="BO48" t="s">
        <v>74</v>
      </c>
      <c r="BP48" t="s">
        <v>74</v>
      </c>
      <c r="BQ48" t="s">
        <v>74</v>
      </c>
      <c r="BR48" t="s">
        <v>74</v>
      </c>
      <c r="BS48" t="s">
        <v>537</v>
      </c>
      <c r="BT48" t="str">
        <f>HYPERLINK("https%3A%2F%2Fwww.webofscience.com%2Fwos%2Fwoscc%2Ffull-record%2FWOS:001584735000001","View Full Record in Web of Science")</f>
        <v>View Full Record in Web of Science</v>
      </c>
    </row>
    <row r="49" spans="1:72" x14ac:dyDescent="0.2">
      <c r="A49" t="s">
        <v>72</v>
      </c>
      <c r="B49" t="s">
        <v>538</v>
      </c>
      <c r="C49" t="s">
        <v>74</v>
      </c>
      <c r="D49" t="s">
        <v>74</v>
      </c>
      <c r="E49" t="s">
        <v>74</v>
      </c>
      <c r="F49" t="s">
        <v>539</v>
      </c>
      <c r="G49" t="s">
        <v>74</v>
      </c>
      <c r="H49" t="s">
        <v>74</v>
      </c>
      <c r="I49" t="s">
        <v>540</v>
      </c>
      <c r="J49" t="s">
        <v>264</v>
      </c>
      <c r="K49" t="s">
        <v>74</v>
      </c>
      <c r="L49" t="s">
        <v>74</v>
      </c>
      <c r="M49" t="s">
        <v>74</v>
      </c>
      <c r="N49" t="s">
        <v>74</v>
      </c>
      <c r="O49" t="s">
        <v>74</v>
      </c>
      <c r="P49" t="s">
        <v>74</v>
      </c>
      <c r="Q49" t="s">
        <v>74</v>
      </c>
      <c r="R49" t="s">
        <v>74</v>
      </c>
      <c r="S49" t="s">
        <v>74</v>
      </c>
      <c r="T49" t="s">
        <v>74</v>
      </c>
      <c r="U49" t="s">
        <v>74</v>
      </c>
      <c r="V49" t="s">
        <v>541</v>
      </c>
      <c r="W49" t="s">
        <v>74</v>
      </c>
      <c r="X49" t="s">
        <v>74</v>
      </c>
      <c r="Y49" t="s">
        <v>74</v>
      </c>
      <c r="Z49" t="s">
        <v>74</v>
      </c>
      <c r="AA49" t="s">
        <v>542</v>
      </c>
      <c r="AB49" t="s">
        <v>74</v>
      </c>
      <c r="AC49" t="s">
        <v>74</v>
      </c>
      <c r="AD49" t="s">
        <v>74</v>
      </c>
      <c r="AE49" t="s">
        <v>74</v>
      </c>
      <c r="AF49" t="s">
        <v>74</v>
      </c>
      <c r="AG49" t="s">
        <v>74</v>
      </c>
      <c r="AH49" t="s">
        <v>74</v>
      </c>
      <c r="AI49" t="s">
        <v>74</v>
      </c>
      <c r="AJ49" t="s">
        <v>74</v>
      </c>
      <c r="AK49" t="s">
        <v>74</v>
      </c>
      <c r="AL49" t="s">
        <v>74</v>
      </c>
      <c r="AM49" t="s">
        <v>74</v>
      </c>
      <c r="AN49" t="s">
        <v>74</v>
      </c>
      <c r="AO49" t="s">
        <v>267</v>
      </c>
      <c r="AP49" t="s">
        <v>268</v>
      </c>
      <c r="AQ49" t="s">
        <v>74</v>
      </c>
      <c r="AR49" t="s">
        <v>74</v>
      </c>
      <c r="AS49" t="s">
        <v>74</v>
      </c>
      <c r="AT49" t="s">
        <v>543</v>
      </c>
      <c r="AU49">
        <v>2025</v>
      </c>
      <c r="AV49">
        <v>58</v>
      </c>
      <c r="AW49">
        <v>18</v>
      </c>
      <c r="AX49" t="s">
        <v>74</v>
      </c>
      <c r="AY49" t="s">
        <v>74</v>
      </c>
      <c r="AZ49" t="s">
        <v>74</v>
      </c>
      <c r="BA49" t="s">
        <v>74</v>
      </c>
      <c r="BB49">
        <v>9692</v>
      </c>
      <c r="BC49">
        <v>9699</v>
      </c>
      <c r="BD49" t="s">
        <v>74</v>
      </c>
      <c r="BE49" t="s">
        <v>544</v>
      </c>
      <c r="BF49" t="str">
        <f>HYPERLINK("http://dx.doi.org/10.1021/acs.macromol.5c01761","http://dx.doi.org/10.1021/acs.macromol.5c01761")</f>
        <v>http://dx.doi.org/10.1021/acs.macromol.5c01761</v>
      </c>
      <c r="BG49" t="s">
        <v>74</v>
      </c>
      <c r="BH49" t="s">
        <v>387</v>
      </c>
      <c r="BI49" t="s">
        <v>74</v>
      </c>
      <c r="BJ49" t="s">
        <v>74</v>
      </c>
      <c r="BK49" t="s">
        <v>74</v>
      </c>
      <c r="BL49" t="s">
        <v>74</v>
      </c>
      <c r="BM49" t="s">
        <v>74</v>
      </c>
      <c r="BN49" t="s">
        <v>74</v>
      </c>
      <c r="BO49" t="s">
        <v>74</v>
      </c>
      <c r="BP49" t="s">
        <v>74</v>
      </c>
      <c r="BQ49" t="s">
        <v>74</v>
      </c>
      <c r="BR49" t="s">
        <v>74</v>
      </c>
      <c r="BS49" t="s">
        <v>545</v>
      </c>
      <c r="BT49" t="str">
        <f>HYPERLINK("https%3A%2F%2Fwww.webofscience.com%2Fwos%2Fwoscc%2Ffull-record%2FWOS:001567400900001","View Full Record in Web of Science")</f>
        <v>View Full Record in Web of Science</v>
      </c>
    </row>
    <row r="50" spans="1:72" x14ac:dyDescent="0.2">
      <c r="A50" t="s">
        <v>72</v>
      </c>
      <c r="B50" t="s">
        <v>546</v>
      </c>
      <c r="C50" t="s">
        <v>74</v>
      </c>
      <c r="D50" t="s">
        <v>74</v>
      </c>
      <c r="E50" t="s">
        <v>74</v>
      </c>
      <c r="F50" t="s">
        <v>547</v>
      </c>
      <c r="G50" t="s">
        <v>74</v>
      </c>
      <c r="H50" t="s">
        <v>74</v>
      </c>
      <c r="I50" t="s">
        <v>548</v>
      </c>
      <c r="J50" t="s">
        <v>549</v>
      </c>
      <c r="K50" t="s">
        <v>74</v>
      </c>
      <c r="L50" t="s">
        <v>74</v>
      </c>
      <c r="M50" t="s">
        <v>74</v>
      </c>
      <c r="N50" t="s">
        <v>74</v>
      </c>
      <c r="O50" t="s">
        <v>74</v>
      </c>
      <c r="P50" t="s">
        <v>74</v>
      </c>
      <c r="Q50" t="s">
        <v>74</v>
      </c>
      <c r="R50" t="s">
        <v>74</v>
      </c>
      <c r="S50" t="s">
        <v>74</v>
      </c>
      <c r="T50" t="s">
        <v>74</v>
      </c>
      <c r="U50" t="s">
        <v>74</v>
      </c>
      <c r="V50" t="s">
        <v>550</v>
      </c>
      <c r="W50" t="s">
        <v>74</v>
      </c>
      <c r="X50" t="s">
        <v>74</v>
      </c>
      <c r="Y50" t="s">
        <v>74</v>
      </c>
      <c r="Z50" t="s">
        <v>74</v>
      </c>
      <c r="AA50" t="s">
        <v>74</v>
      </c>
      <c r="AB50" t="s">
        <v>74</v>
      </c>
      <c r="AC50" t="s">
        <v>74</v>
      </c>
      <c r="AD50" t="s">
        <v>74</v>
      </c>
      <c r="AE50" t="s">
        <v>74</v>
      </c>
      <c r="AF50" t="s">
        <v>74</v>
      </c>
      <c r="AG50" t="s">
        <v>74</v>
      </c>
      <c r="AH50" t="s">
        <v>74</v>
      </c>
      <c r="AI50" t="s">
        <v>74</v>
      </c>
      <c r="AJ50" t="s">
        <v>74</v>
      </c>
      <c r="AK50" t="s">
        <v>74</v>
      </c>
      <c r="AL50" t="s">
        <v>74</v>
      </c>
      <c r="AM50" t="s">
        <v>74</v>
      </c>
      <c r="AN50" t="s">
        <v>74</v>
      </c>
      <c r="AO50" t="s">
        <v>551</v>
      </c>
      <c r="AP50" t="s">
        <v>552</v>
      </c>
      <c r="AQ50" t="s">
        <v>74</v>
      </c>
      <c r="AR50" t="s">
        <v>74</v>
      </c>
      <c r="AS50" t="s">
        <v>74</v>
      </c>
      <c r="AT50" t="s">
        <v>553</v>
      </c>
      <c r="AU50">
        <v>2025</v>
      </c>
      <c r="AV50">
        <v>54</v>
      </c>
      <c r="AW50">
        <v>39</v>
      </c>
      <c r="AX50" t="s">
        <v>74</v>
      </c>
      <c r="AY50" t="s">
        <v>74</v>
      </c>
      <c r="AZ50" t="s">
        <v>74</v>
      </c>
      <c r="BA50" t="s">
        <v>74</v>
      </c>
      <c r="BB50">
        <v>14896</v>
      </c>
      <c r="BC50">
        <v>14903</v>
      </c>
      <c r="BD50" t="s">
        <v>74</v>
      </c>
      <c r="BE50" t="s">
        <v>554</v>
      </c>
      <c r="BF50" t="str">
        <f>HYPERLINK("http://dx.doi.org/10.1039/d5dt01405k","http://dx.doi.org/10.1039/d5dt01405k")</f>
        <v>http://dx.doi.org/10.1039/d5dt01405k</v>
      </c>
      <c r="BG50" t="s">
        <v>74</v>
      </c>
      <c r="BH50" t="s">
        <v>387</v>
      </c>
      <c r="BI50" t="s">
        <v>74</v>
      </c>
      <c r="BJ50" t="s">
        <v>74</v>
      </c>
      <c r="BK50" t="s">
        <v>74</v>
      </c>
      <c r="BL50" t="s">
        <v>74</v>
      </c>
      <c r="BM50" t="s">
        <v>74</v>
      </c>
      <c r="BN50">
        <v>40970283</v>
      </c>
      <c r="BO50" t="s">
        <v>74</v>
      </c>
      <c r="BP50" t="s">
        <v>74</v>
      </c>
      <c r="BQ50" t="s">
        <v>74</v>
      </c>
      <c r="BR50" t="s">
        <v>74</v>
      </c>
      <c r="BS50" t="s">
        <v>555</v>
      </c>
      <c r="BT50" t="str">
        <f>HYPERLINK("https%3A%2F%2Fwww.webofscience.com%2Fwos%2Fwoscc%2Ffull-record%2FWOS:001574279700001","View Full Record in Web of Science")</f>
        <v>View Full Record in Web of Science</v>
      </c>
    </row>
    <row r="51" spans="1:72" x14ac:dyDescent="0.2">
      <c r="A51" t="s">
        <v>72</v>
      </c>
      <c r="B51" t="s">
        <v>556</v>
      </c>
      <c r="C51" t="s">
        <v>74</v>
      </c>
      <c r="D51" t="s">
        <v>74</v>
      </c>
      <c r="E51" t="s">
        <v>74</v>
      </c>
      <c r="F51" t="s">
        <v>557</v>
      </c>
      <c r="G51" t="s">
        <v>74</v>
      </c>
      <c r="H51" t="s">
        <v>74</v>
      </c>
      <c r="I51" t="s">
        <v>558</v>
      </c>
      <c r="J51" t="s">
        <v>498</v>
      </c>
      <c r="K51" t="s">
        <v>74</v>
      </c>
      <c r="L51" t="s">
        <v>74</v>
      </c>
      <c r="M51" t="s">
        <v>74</v>
      </c>
      <c r="N51" t="s">
        <v>74</v>
      </c>
      <c r="O51" t="s">
        <v>74</v>
      </c>
      <c r="P51" t="s">
        <v>74</v>
      </c>
      <c r="Q51" t="s">
        <v>74</v>
      </c>
      <c r="R51" t="s">
        <v>74</v>
      </c>
      <c r="S51" t="s">
        <v>74</v>
      </c>
      <c r="T51" t="s">
        <v>74</v>
      </c>
      <c r="U51" t="s">
        <v>74</v>
      </c>
      <c r="V51" t="s">
        <v>559</v>
      </c>
      <c r="W51" t="s">
        <v>74</v>
      </c>
      <c r="X51" t="s">
        <v>74</v>
      </c>
      <c r="Y51" t="s">
        <v>74</v>
      </c>
      <c r="Z51" t="s">
        <v>74</v>
      </c>
      <c r="AA51" t="s">
        <v>560</v>
      </c>
      <c r="AB51" t="s">
        <v>561</v>
      </c>
      <c r="AC51" t="s">
        <v>74</v>
      </c>
      <c r="AD51" t="s">
        <v>74</v>
      </c>
      <c r="AE51" t="s">
        <v>74</v>
      </c>
      <c r="AF51" t="s">
        <v>74</v>
      </c>
      <c r="AG51" t="s">
        <v>74</v>
      </c>
      <c r="AH51" t="s">
        <v>74</v>
      </c>
      <c r="AI51" t="s">
        <v>74</v>
      </c>
      <c r="AJ51" t="s">
        <v>74</v>
      </c>
      <c r="AK51" t="s">
        <v>74</v>
      </c>
      <c r="AL51" t="s">
        <v>74</v>
      </c>
      <c r="AM51" t="s">
        <v>74</v>
      </c>
      <c r="AN51" t="s">
        <v>74</v>
      </c>
      <c r="AO51" t="s">
        <v>502</v>
      </c>
      <c r="AP51" t="s">
        <v>503</v>
      </c>
      <c r="AQ51" t="s">
        <v>74</v>
      </c>
      <c r="AR51" t="s">
        <v>74</v>
      </c>
      <c r="AS51" t="s">
        <v>74</v>
      </c>
      <c r="AT51" t="s">
        <v>543</v>
      </c>
      <c r="AU51">
        <v>2025</v>
      </c>
      <c r="AV51">
        <v>37</v>
      </c>
      <c r="AW51">
        <v>18</v>
      </c>
      <c r="AX51" t="s">
        <v>74</v>
      </c>
      <c r="AY51" t="s">
        <v>74</v>
      </c>
      <c r="AZ51" t="s">
        <v>74</v>
      </c>
      <c r="BA51" t="s">
        <v>74</v>
      </c>
      <c r="BB51">
        <v>6983</v>
      </c>
      <c r="BC51">
        <v>6990</v>
      </c>
      <c r="BD51" t="s">
        <v>74</v>
      </c>
      <c r="BE51" t="s">
        <v>562</v>
      </c>
      <c r="BF51" t="str">
        <f>HYPERLINK("http://dx.doi.org/10.1021/acs.chemmater.5c00737","http://dx.doi.org/10.1021/acs.chemmater.5c00737")</f>
        <v>http://dx.doi.org/10.1021/acs.chemmater.5c00737</v>
      </c>
      <c r="BG51" t="s">
        <v>74</v>
      </c>
      <c r="BH51" t="s">
        <v>387</v>
      </c>
      <c r="BI51" t="s">
        <v>74</v>
      </c>
      <c r="BJ51" t="s">
        <v>74</v>
      </c>
      <c r="BK51" t="s">
        <v>74</v>
      </c>
      <c r="BL51" t="s">
        <v>74</v>
      </c>
      <c r="BM51" t="s">
        <v>74</v>
      </c>
      <c r="BN51">
        <v>41019947</v>
      </c>
      <c r="BO51" t="s">
        <v>74</v>
      </c>
      <c r="BP51" t="s">
        <v>74</v>
      </c>
      <c r="BQ51" t="s">
        <v>74</v>
      </c>
      <c r="BR51" t="s">
        <v>74</v>
      </c>
      <c r="BS51" t="s">
        <v>563</v>
      </c>
      <c r="BT51" t="str">
        <f>HYPERLINK("https%3A%2F%2Fwww.webofscience.com%2Fwos%2Fwoscc%2Ffull-record%2FWOS:001566340100001","View Full Record in Web of Science")</f>
        <v>View Full Record in Web of Science</v>
      </c>
    </row>
    <row r="52" spans="1:72" x14ac:dyDescent="0.2">
      <c r="A52" t="s">
        <v>72</v>
      </c>
      <c r="B52" t="s">
        <v>564</v>
      </c>
      <c r="C52" t="s">
        <v>74</v>
      </c>
      <c r="D52" t="s">
        <v>74</v>
      </c>
      <c r="E52" t="s">
        <v>74</v>
      </c>
      <c r="F52" t="s">
        <v>565</v>
      </c>
      <c r="G52" t="s">
        <v>74</v>
      </c>
      <c r="H52" t="s">
        <v>74</v>
      </c>
      <c r="I52" t="s">
        <v>566</v>
      </c>
      <c r="J52" t="s">
        <v>567</v>
      </c>
      <c r="K52" t="s">
        <v>74</v>
      </c>
      <c r="L52" t="s">
        <v>74</v>
      </c>
      <c r="M52" t="s">
        <v>74</v>
      </c>
      <c r="N52" t="s">
        <v>74</v>
      </c>
      <c r="O52" t="s">
        <v>74</v>
      </c>
      <c r="P52" t="s">
        <v>74</v>
      </c>
      <c r="Q52" t="s">
        <v>74</v>
      </c>
      <c r="R52" t="s">
        <v>74</v>
      </c>
      <c r="S52" t="s">
        <v>74</v>
      </c>
      <c r="T52" t="s">
        <v>74</v>
      </c>
      <c r="U52" t="s">
        <v>74</v>
      </c>
      <c r="V52" t="s">
        <v>568</v>
      </c>
      <c r="W52" t="s">
        <v>74</v>
      </c>
      <c r="X52" t="s">
        <v>74</v>
      </c>
      <c r="Y52" t="s">
        <v>74</v>
      </c>
      <c r="Z52" t="s">
        <v>74</v>
      </c>
      <c r="AA52" t="s">
        <v>74</v>
      </c>
      <c r="AB52" t="s">
        <v>74</v>
      </c>
      <c r="AC52" t="s">
        <v>74</v>
      </c>
      <c r="AD52" t="s">
        <v>74</v>
      </c>
      <c r="AE52" t="s">
        <v>74</v>
      </c>
      <c r="AF52" t="s">
        <v>74</v>
      </c>
      <c r="AG52" t="s">
        <v>74</v>
      </c>
      <c r="AH52" t="s">
        <v>74</v>
      </c>
      <c r="AI52" t="s">
        <v>74</v>
      </c>
      <c r="AJ52" t="s">
        <v>74</v>
      </c>
      <c r="AK52" t="s">
        <v>74</v>
      </c>
      <c r="AL52" t="s">
        <v>74</v>
      </c>
      <c r="AM52" t="s">
        <v>74</v>
      </c>
      <c r="AN52" t="s">
        <v>74</v>
      </c>
      <c r="AO52" t="s">
        <v>569</v>
      </c>
      <c r="AP52" t="s">
        <v>570</v>
      </c>
      <c r="AQ52" t="s">
        <v>74</v>
      </c>
      <c r="AR52" t="s">
        <v>74</v>
      </c>
      <c r="AS52" t="s">
        <v>74</v>
      </c>
      <c r="AT52" t="s">
        <v>571</v>
      </c>
      <c r="AU52">
        <v>2025</v>
      </c>
      <c r="AV52">
        <v>27</v>
      </c>
      <c r="AW52">
        <v>39</v>
      </c>
      <c r="AX52" t="s">
        <v>74</v>
      </c>
      <c r="AY52" t="s">
        <v>74</v>
      </c>
      <c r="AZ52" t="s">
        <v>74</v>
      </c>
      <c r="BA52" t="s">
        <v>74</v>
      </c>
      <c r="BB52">
        <v>21022</v>
      </c>
      <c r="BC52">
        <v>21029</v>
      </c>
      <c r="BD52" t="s">
        <v>74</v>
      </c>
      <c r="BE52" t="s">
        <v>572</v>
      </c>
      <c r="BF52" t="str">
        <f>HYPERLINK("http://dx.doi.org/10.1039/d5cp02606g","http://dx.doi.org/10.1039/d5cp02606g")</f>
        <v>http://dx.doi.org/10.1039/d5cp02606g</v>
      </c>
      <c r="BG52" t="s">
        <v>74</v>
      </c>
      <c r="BH52" t="s">
        <v>387</v>
      </c>
      <c r="BI52" t="s">
        <v>74</v>
      </c>
      <c r="BJ52" t="s">
        <v>74</v>
      </c>
      <c r="BK52" t="s">
        <v>74</v>
      </c>
      <c r="BL52" t="s">
        <v>74</v>
      </c>
      <c r="BM52" t="s">
        <v>74</v>
      </c>
      <c r="BN52">
        <v>40980962</v>
      </c>
      <c r="BO52" t="s">
        <v>74</v>
      </c>
      <c r="BP52" t="s">
        <v>74</v>
      </c>
      <c r="BQ52" t="s">
        <v>74</v>
      </c>
      <c r="BR52" t="s">
        <v>74</v>
      </c>
      <c r="BS52" t="s">
        <v>573</v>
      </c>
      <c r="BT52" t="str">
        <f>HYPERLINK("https%3A%2F%2Fwww.webofscience.com%2Fwos%2Fwoscc%2Ffull-record%2FWOS:001575564100001","View Full Record in Web of Science")</f>
        <v>View Full Record in Web of Science</v>
      </c>
    </row>
    <row r="53" spans="1:72" x14ac:dyDescent="0.2">
      <c r="A53" t="s">
        <v>72</v>
      </c>
      <c r="B53" t="s">
        <v>574</v>
      </c>
      <c r="C53" t="s">
        <v>74</v>
      </c>
      <c r="D53" t="s">
        <v>74</v>
      </c>
      <c r="E53" t="s">
        <v>74</v>
      </c>
      <c r="F53" t="s">
        <v>575</v>
      </c>
      <c r="G53" t="s">
        <v>74</v>
      </c>
      <c r="H53" t="s">
        <v>74</v>
      </c>
      <c r="I53" t="s">
        <v>576</v>
      </c>
      <c r="J53" t="s">
        <v>342</v>
      </c>
      <c r="K53" t="s">
        <v>74</v>
      </c>
      <c r="L53" t="s">
        <v>74</v>
      </c>
      <c r="M53" t="s">
        <v>74</v>
      </c>
      <c r="N53" t="s">
        <v>74</v>
      </c>
      <c r="O53" t="s">
        <v>74</v>
      </c>
      <c r="P53" t="s">
        <v>74</v>
      </c>
      <c r="Q53" t="s">
        <v>74</v>
      </c>
      <c r="R53" t="s">
        <v>74</v>
      </c>
      <c r="S53" t="s">
        <v>74</v>
      </c>
      <c r="T53" t="s">
        <v>74</v>
      </c>
      <c r="U53" t="s">
        <v>74</v>
      </c>
      <c r="V53" t="s">
        <v>577</v>
      </c>
      <c r="W53" t="s">
        <v>74</v>
      </c>
      <c r="X53" t="s">
        <v>74</v>
      </c>
      <c r="Y53" t="s">
        <v>74</v>
      </c>
      <c r="Z53" t="s">
        <v>74</v>
      </c>
      <c r="AA53" t="s">
        <v>364</v>
      </c>
      <c r="AB53" t="s">
        <v>74</v>
      </c>
      <c r="AC53" t="s">
        <v>74</v>
      </c>
      <c r="AD53" t="s">
        <v>74</v>
      </c>
      <c r="AE53" t="s">
        <v>74</v>
      </c>
      <c r="AF53" t="s">
        <v>74</v>
      </c>
      <c r="AG53" t="s">
        <v>74</v>
      </c>
      <c r="AH53" t="s">
        <v>74</v>
      </c>
      <c r="AI53" t="s">
        <v>74</v>
      </c>
      <c r="AJ53" t="s">
        <v>74</v>
      </c>
      <c r="AK53" t="s">
        <v>74</v>
      </c>
      <c r="AL53" t="s">
        <v>74</v>
      </c>
      <c r="AM53" t="s">
        <v>74</v>
      </c>
      <c r="AN53" t="s">
        <v>74</v>
      </c>
      <c r="AO53" t="s">
        <v>345</v>
      </c>
      <c r="AP53" t="s">
        <v>346</v>
      </c>
      <c r="AQ53" t="s">
        <v>74</v>
      </c>
      <c r="AR53" t="s">
        <v>74</v>
      </c>
      <c r="AS53" t="s">
        <v>74</v>
      </c>
      <c r="AT53" t="s">
        <v>357</v>
      </c>
      <c r="AU53">
        <v>2025</v>
      </c>
      <c r="AV53">
        <v>522</v>
      </c>
      <c r="AW53" t="s">
        <v>74</v>
      </c>
      <c r="AX53" t="s">
        <v>74</v>
      </c>
      <c r="AY53" t="s">
        <v>74</v>
      </c>
      <c r="AZ53" t="s">
        <v>74</v>
      </c>
      <c r="BA53" t="s">
        <v>74</v>
      </c>
      <c r="BB53" t="s">
        <v>74</v>
      </c>
      <c r="BC53" t="s">
        <v>74</v>
      </c>
      <c r="BD53">
        <v>167310</v>
      </c>
      <c r="BE53" t="s">
        <v>578</v>
      </c>
      <c r="BF53" t="str">
        <f>HYPERLINK("http://dx.doi.org/10.1016/j.cej.2025.167310","http://dx.doi.org/10.1016/j.cej.2025.167310")</f>
        <v>http://dx.doi.org/10.1016/j.cej.2025.167310</v>
      </c>
      <c r="BG53" t="s">
        <v>74</v>
      </c>
      <c r="BH53" t="s">
        <v>387</v>
      </c>
      <c r="BI53" t="s">
        <v>74</v>
      </c>
      <c r="BJ53" t="s">
        <v>74</v>
      </c>
      <c r="BK53" t="s">
        <v>74</v>
      </c>
      <c r="BL53" t="s">
        <v>74</v>
      </c>
      <c r="BM53" t="s">
        <v>74</v>
      </c>
      <c r="BN53" t="s">
        <v>74</v>
      </c>
      <c r="BO53" t="s">
        <v>74</v>
      </c>
      <c r="BP53" t="s">
        <v>74</v>
      </c>
      <c r="BQ53" t="s">
        <v>74</v>
      </c>
      <c r="BR53" t="s">
        <v>74</v>
      </c>
      <c r="BS53" t="s">
        <v>579</v>
      </c>
      <c r="BT53" t="str">
        <f>HYPERLINK("https%3A%2F%2Fwww.webofscience.com%2Fwos%2Fwoscc%2Ffull-record%2FWOS:001568854800029","View Full Record in Web of Science")</f>
        <v>View Full Record in Web of Science</v>
      </c>
    </row>
    <row r="54" spans="1:72" x14ac:dyDescent="0.2">
      <c r="A54" t="s">
        <v>72</v>
      </c>
      <c r="B54" t="s">
        <v>580</v>
      </c>
      <c r="C54" t="s">
        <v>74</v>
      </c>
      <c r="D54" t="s">
        <v>74</v>
      </c>
      <c r="E54" t="s">
        <v>74</v>
      </c>
      <c r="F54" t="s">
        <v>581</v>
      </c>
      <c r="G54" t="s">
        <v>74</v>
      </c>
      <c r="H54" t="s">
        <v>74</v>
      </c>
      <c r="I54" t="s">
        <v>582</v>
      </c>
      <c r="J54" t="s">
        <v>583</v>
      </c>
      <c r="K54" t="s">
        <v>74</v>
      </c>
      <c r="L54" t="s">
        <v>74</v>
      </c>
      <c r="M54" t="s">
        <v>74</v>
      </c>
      <c r="N54" t="s">
        <v>74</v>
      </c>
      <c r="O54" t="s">
        <v>74</v>
      </c>
      <c r="P54" t="s">
        <v>74</v>
      </c>
      <c r="Q54" t="s">
        <v>74</v>
      </c>
      <c r="R54" t="s">
        <v>74</v>
      </c>
      <c r="S54" t="s">
        <v>74</v>
      </c>
      <c r="T54" t="s">
        <v>74</v>
      </c>
      <c r="U54" t="s">
        <v>74</v>
      </c>
      <c r="V54" t="s">
        <v>584</v>
      </c>
      <c r="W54" t="s">
        <v>74</v>
      </c>
      <c r="X54" t="s">
        <v>74</v>
      </c>
      <c r="Y54" t="s">
        <v>74</v>
      </c>
      <c r="Z54" t="s">
        <v>74</v>
      </c>
      <c r="AA54" t="s">
        <v>585</v>
      </c>
      <c r="AB54" t="s">
        <v>74</v>
      </c>
      <c r="AC54" t="s">
        <v>74</v>
      </c>
      <c r="AD54" t="s">
        <v>74</v>
      </c>
      <c r="AE54" t="s">
        <v>74</v>
      </c>
      <c r="AF54" t="s">
        <v>74</v>
      </c>
      <c r="AG54" t="s">
        <v>74</v>
      </c>
      <c r="AH54" t="s">
        <v>74</v>
      </c>
      <c r="AI54" t="s">
        <v>74</v>
      </c>
      <c r="AJ54" t="s">
        <v>74</v>
      </c>
      <c r="AK54" t="s">
        <v>74</v>
      </c>
      <c r="AL54" t="s">
        <v>74</v>
      </c>
      <c r="AM54" t="s">
        <v>74</v>
      </c>
      <c r="AN54" t="s">
        <v>74</v>
      </c>
      <c r="AO54" t="s">
        <v>586</v>
      </c>
      <c r="AP54" t="s">
        <v>587</v>
      </c>
      <c r="AQ54" t="s">
        <v>74</v>
      </c>
      <c r="AR54" t="s">
        <v>74</v>
      </c>
      <c r="AS54" t="s">
        <v>74</v>
      </c>
      <c r="AT54" t="s">
        <v>588</v>
      </c>
      <c r="AU54">
        <v>2025</v>
      </c>
      <c r="AV54" t="s">
        <v>74</v>
      </c>
      <c r="AW54" t="s">
        <v>74</v>
      </c>
      <c r="AX54" t="s">
        <v>74</v>
      </c>
      <c r="AY54" t="s">
        <v>74</v>
      </c>
      <c r="AZ54" t="s">
        <v>74</v>
      </c>
      <c r="BA54" t="s">
        <v>74</v>
      </c>
      <c r="BB54" t="s">
        <v>74</v>
      </c>
      <c r="BC54" t="s">
        <v>74</v>
      </c>
      <c r="BD54" t="s">
        <v>74</v>
      </c>
      <c r="BE54" t="s">
        <v>589</v>
      </c>
      <c r="BF54" t="str">
        <f>HYPERLINK("http://dx.doi.org/10.1007/s11426-025-2782-y","http://dx.doi.org/10.1007/s11426-025-2782-y")</f>
        <v>http://dx.doi.org/10.1007/s11426-025-2782-y</v>
      </c>
      <c r="BG54" t="s">
        <v>74</v>
      </c>
      <c r="BH54" t="s">
        <v>387</v>
      </c>
      <c r="BI54" t="s">
        <v>74</v>
      </c>
      <c r="BJ54" t="s">
        <v>74</v>
      </c>
      <c r="BK54" t="s">
        <v>74</v>
      </c>
      <c r="BL54" t="s">
        <v>74</v>
      </c>
      <c r="BM54" t="s">
        <v>74</v>
      </c>
      <c r="BN54" t="s">
        <v>74</v>
      </c>
      <c r="BO54" t="s">
        <v>74</v>
      </c>
      <c r="BP54" t="s">
        <v>74</v>
      </c>
      <c r="BQ54" t="s">
        <v>74</v>
      </c>
      <c r="BR54" t="s">
        <v>74</v>
      </c>
      <c r="BS54" t="s">
        <v>590</v>
      </c>
      <c r="BT54" t="str">
        <f>HYPERLINK("https%3A%2F%2Fwww.webofscience.com%2Fwos%2Fwoscc%2Ffull-record%2FWOS:001566236000001","View Full Record in Web of Science")</f>
        <v>View Full Record in Web of Science</v>
      </c>
    </row>
    <row r="55" spans="1:72" x14ac:dyDescent="0.2">
      <c r="A55" t="s">
        <v>72</v>
      </c>
      <c r="B55" t="s">
        <v>591</v>
      </c>
      <c r="C55" t="s">
        <v>74</v>
      </c>
      <c r="D55" t="s">
        <v>74</v>
      </c>
      <c r="E55" t="s">
        <v>74</v>
      </c>
      <c r="F55" t="s">
        <v>592</v>
      </c>
      <c r="G55" t="s">
        <v>74</v>
      </c>
      <c r="H55" t="s">
        <v>74</v>
      </c>
      <c r="I55" t="s">
        <v>593</v>
      </c>
      <c r="J55" t="s">
        <v>594</v>
      </c>
      <c r="K55" t="s">
        <v>74</v>
      </c>
      <c r="L55" t="s">
        <v>74</v>
      </c>
      <c r="M55" t="s">
        <v>74</v>
      </c>
      <c r="N55" t="s">
        <v>74</v>
      </c>
      <c r="O55" t="s">
        <v>74</v>
      </c>
      <c r="P55" t="s">
        <v>74</v>
      </c>
      <c r="Q55" t="s">
        <v>74</v>
      </c>
      <c r="R55" t="s">
        <v>74</v>
      </c>
      <c r="S55" t="s">
        <v>74</v>
      </c>
      <c r="T55" t="s">
        <v>74</v>
      </c>
      <c r="U55" t="s">
        <v>74</v>
      </c>
      <c r="V55" t="s">
        <v>595</v>
      </c>
      <c r="W55" t="s">
        <v>74</v>
      </c>
      <c r="X55" t="s">
        <v>74</v>
      </c>
      <c r="Y55" t="s">
        <v>74</v>
      </c>
      <c r="Z55" t="s">
        <v>74</v>
      </c>
      <c r="AA55" t="s">
        <v>596</v>
      </c>
      <c r="AB55" t="s">
        <v>74</v>
      </c>
      <c r="AC55" t="s">
        <v>74</v>
      </c>
      <c r="AD55" t="s">
        <v>74</v>
      </c>
      <c r="AE55" t="s">
        <v>74</v>
      </c>
      <c r="AF55" t="s">
        <v>74</v>
      </c>
      <c r="AG55" t="s">
        <v>74</v>
      </c>
      <c r="AH55" t="s">
        <v>74</v>
      </c>
      <c r="AI55" t="s">
        <v>74</v>
      </c>
      <c r="AJ55" t="s">
        <v>74</v>
      </c>
      <c r="AK55" t="s">
        <v>74</v>
      </c>
      <c r="AL55" t="s">
        <v>74</v>
      </c>
      <c r="AM55" t="s">
        <v>74</v>
      </c>
      <c r="AN55" t="s">
        <v>74</v>
      </c>
      <c r="AO55" t="s">
        <v>597</v>
      </c>
      <c r="AP55" t="s">
        <v>598</v>
      </c>
      <c r="AQ55" t="s">
        <v>74</v>
      </c>
      <c r="AR55" t="s">
        <v>74</v>
      </c>
      <c r="AS55" t="s">
        <v>74</v>
      </c>
      <c r="AT55" t="s">
        <v>599</v>
      </c>
      <c r="AU55">
        <v>2025</v>
      </c>
      <c r="AV55" t="s">
        <v>74</v>
      </c>
      <c r="AW55" t="s">
        <v>74</v>
      </c>
      <c r="AX55" t="s">
        <v>74</v>
      </c>
      <c r="AY55" t="s">
        <v>74</v>
      </c>
      <c r="AZ55" t="s">
        <v>74</v>
      </c>
      <c r="BA55" t="s">
        <v>74</v>
      </c>
      <c r="BB55" t="s">
        <v>74</v>
      </c>
      <c r="BC55" t="s">
        <v>74</v>
      </c>
      <c r="BD55" t="s">
        <v>600</v>
      </c>
      <c r="BE55" t="s">
        <v>601</v>
      </c>
      <c r="BF55" t="str">
        <f>HYPERLINK("http://dx.doi.org/10.1002/aenm.202503108","http://dx.doi.org/10.1002/aenm.202503108")</f>
        <v>http://dx.doi.org/10.1002/aenm.202503108</v>
      </c>
      <c r="BG55" t="s">
        <v>74</v>
      </c>
      <c r="BH55" t="s">
        <v>387</v>
      </c>
      <c r="BI55" t="s">
        <v>74</v>
      </c>
      <c r="BJ55" t="s">
        <v>74</v>
      </c>
      <c r="BK55" t="s">
        <v>74</v>
      </c>
      <c r="BL55" t="s">
        <v>74</v>
      </c>
      <c r="BM55" t="s">
        <v>74</v>
      </c>
      <c r="BN55" t="s">
        <v>74</v>
      </c>
      <c r="BO55" t="s">
        <v>74</v>
      </c>
      <c r="BP55" t="s">
        <v>74</v>
      </c>
      <c r="BQ55" t="s">
        <v>74</v>
      </c>
      <c r="BR55" t="s">
        <v>74</v>
      </c>
      <c r="BS55" t="s">
        <v>602</v>
      </c>
      <c r="BT55" t="str">
        <f>HYPERLINK("https%3A%2F%2Fwww.webofscience.com%2Fwos%2Fwoscc%2Ffull-record%2FWOS:001562326900001","View Full Record in Web of Science")</f>
        <v>View Full Record in Web of Science</v>
      </c>
    </row>
    <row r="56" spans="1:72" x14ac:dyDescent="0.2">
      <c r="A56" t="s">
        <v>72</v>
      </c>
      <c r="B56" t="s">
        <v>603</v>
      </c>
      <c r="C56" t="s">
        <v>74</v>
      </c>
      <c r="D56" t="s">
        <v>74</v>
      </c>
      <c r="E56" t="s">
        <v>74</v>
      </c>
      <c r="F56" t="s">
        <v>604</v>
      </c>
      <c r="G56" t="s">
        <v>74</v>
      </c>
      <c r="H56" t="s">
        <v>74</v>
      </c>
      <c r="I56" t="s">
        <v>605</v>
      </c>
      <c r="J56" t="s">
        <v>606</v>
      </c>
      <c r="K56" t="s">
        <v>74</v>
      </c>
      <c r="L56" t="s">
        <v>74</v>
      </c>
      <c r="M56" t="s">
        <v>74</v>
      </c>
      <c r="N56" t="s">
        <v>74</v>
      </c>
      <c r="O56" t="s">
        <v>74</v>
      </c>
      <c r="P56" t="s">
        <v>74</v>
      </c>
      <c r="Q56" t="s">
        <v>74</v>
      </c>
      <c r="R56" t="s">
        <v>74</v>
      </c>
      <c r="S56" t="s">
        <v>74</v>
      </c>
      <c r="T56" t="s">
        <v>74</v>
      </c>
      <c r="U56" t="s">
        <v>74</v>
      </c>
      <c r="V56" t="s">
        <v>607</v>
      </c>
      <c r="W56" t="s">
        <v>74</v>
      </c>
      <c r="X56" t="s">
        <v>74</v>
      </c>
      <c r="Y56" t="s">
        <v>74</v>
      </c>
      <c r="Z56" t="s">
        <v>74</v>
      </c>
      <c r="AA56" t="s">
        <v>74</v>
      </c>
      <c r="AB56" t="s">
        <v>74</v>
      </c>
      <c r="AC56" t="s">
        <v>74</v>
      </c>
      <c r="AD56" t="s">
        <v>74</v>
      </c>
      <c r="AE56" t="s">
        <v>74</v>
      </c>
      <c r="AF56" t="s">
        <v>74</v>
      </c>
      <c r="AG56" t="s">
        <v>74</v>
      </c>
      <c r="AH56" t="s">
        <v>74</v>
      </c>
      <c r="AI56" t="s">
        <v>74</v>
      </c>
      <c r="AJ56" t="s">
        <v>74</v>
      </c>
      <c r="AK56" t="s">
        <v>74</v>
      </c>
      <c r="AL56" t="s">
        <v>74</v>
      </c>
      <c r="AM56" t="s">
        <v>74</v>
      </c>
      <c r="AN56" t="s">
        <v>74</v>
      </c>
      <c r="AO56" t="s">
        <v>608</v>
      </c>
      <c r="AP56" t="s">
        <v>609</v>
      </c>
      <c r="AQ56" t="s">
        <v>74</v>
      </c>
      <c r="AR56" t="s">
        <v>74</v>
      </c>
      <c r="AS56" t="s">
        <v>74</v>
      </c>
      <c r="AT56" t="s">
        <v>610</v>
      </c>
      <c r="AU56">
        <v>2025</v>
      </c>
      <c r="AV56">
        <v>49</v>
      </c>
      <c r="AW56">
        <v>5</v>
      </c>
      <c r="AX56" t="s">
        <v>74</v>
      </c>
      <c r="AY56" t="s">
        <v>74</v>
      </c>
      <c r="AZ56" t="s">
        <v>74</v>
      </c>
      <c r="BA56" t="s">
        <v>74</v>
      </c>
      <c r="BB56">
        <v>634</v>
      </c>
      <c r="BC56">
        <v>641</v>
      </c>
      <c r="BD56" t="s">
        <v>74</v>
      </c>
      <c r="BE56" t="s">
        <v>611</v>
      </c>
      <c r="BF56" t="str">
        <f>HYPERLINK("http://dx.doi.org/10.7317/pk.2025.49.5.634","http://dx.doi.org/10.7317/pk.2025.49.5.634")</f>
        <v>http://dx.doi.org/10.7317/pk.2025.49.5.634</v>
      </c>
      <c r="BG56" t="s">
        <v>74</v>
      </c>
      <c r="BH56" t="s">
        <v>74</v>
      </c>
      <c r="BI56" t="s">
        <v>74</v>
      </c>
      <c r="BJ56" t="s">
        <v>74</v>
      </c>
      <c r="BK56" t="s">
        <v>74</v>
      </c>
      <c r="BL56" t="s">
        <v>74</v>
      </c>
      <c r="BM56" t="s">
        <v>74</v>
      </c>
      <c r="BN56" t="s">
        <v>74</v>
      </c>
      <c r="BO56" t="s">
        <v>74</v>
      </c>
      <c r="BP56" t="s">
        <v>74</v>
      </c>
      <c r="BQ56" t="s">
        <v>74</v>
      </c>
      <c r="BR56" t="s">
        <v>74</v>
      </c>
      <c r="BS56" t="s">
        <v>612</v>
      </c>
      <c r="BT56" t="str">
        <f>HYPERLINK("https%3A%2F%2Fwww.webofscience.com%2Fwos%2Fwoscc%2Ffull-record%2FWOS:001578696000013","View Full Record in Web of Science")</f>
        <v>View Full Record in Web of Science</v>
      </c>
    </row>
    <row r="57" spans="1:72" x14ac:dyDescent="0.2">
      <c r="A57" t="s">
        <v>72</v>
      </c>
      <c r="B57" t="s">
        <v>613</v>
      </c>
      <c r="C57" t="s">
        <v>74</v>
      </c>
      <c r="D57" t="s">
        <v>74</v>
      </c>
      <c r="E57" t="s">
        <v>74</v>
      </c>
      <c r="F57" t="s">
        <v>614</v>
      </c>
      <c r="G57" t="s">
        <v>74</v>
      </c>
      <c r="H57" t="s">
        <v>74</v>
      </c>
      <c r="I57" t="s">
        <v>615</v>
      </c>
      <c r="J57" t="s">
        <v>616</v>
      </c>
      <c r="K57" t="s">
        <v>74</v>
      </c>
      <c r="L57" t="s">
        <v>74</v>
      </c>
      <c r="M57" t="s">
        <v>74</v>
      </c>
      <c r="N57" t="s">
        <v>74</v>
      </c>
      <c r="O57" t="s">
        <v>74</v>
      </c>
      <c r="P57" t="s">
        <v>74</v>
      </c>
      <c r="Q57" t="s">
        <v>74</v>
      </c>
      <c r="R57" t="s">
        <v>74</v>
      </c>
      <c r="S57" t="s">
        <v>74</v>
      </c>
      <c r="T57" t="s">
        <v>74</v>
      </c>
      <c r="U57" t="s">
        <v>74</v>
      </c>
      <c r="V57" t="s">
        <v>617</v>
      </c>
      <c r="W57" t="s">
        <v>74</v>
      </c>
      <c r="X57" t="s">
        <v>74</v>
      </c>
      <c r="Y57" t="s">
        <v>74</v>
      </c>
      <c r="Z57" t="s">
        <v>74</v>
      </c>
      <c r="AA57" t="s">
        <v>618</v>
      </c>
      <c r="AB57" t="s">
        <v>74</v>
      </c>
      <c r="AC57" t="s">
        <v>74</v>
      </c>
      <c r="AD57" t="s">
        <v>74</v>
      </c>
      <c r="AE57" t="s">
        <v>74</v>
      </c>
      <c r="AF57" t="s">
        <v>74</v>
      </c>
      <c r="AG57" t="s">
        <v>74</v>
      </c>
      <c r="AH57" t="s">
        <v>74</v>
      </c>
      <c r="AI57" t="s">
        <v>74</v>
      </c>
      <c r="AJ57" t="s">
        <v>74</v>
      </c>
      <c r="AK57" t="s">
        <v>74</v>
      </c>
      <c r="AL57" t="s">
        <v>74</v>
      </c>
      <c r="AM57" t="s">
        <v>74</v>
      </c>
      <c r="AN57" t="s">
        <v>74</v>
      </c>
      <c r="AO57" t="s">
        <v>619</v>
      </c>
      <c r="AP57" t="s">
        <v>74</v>
      </c>
      <c r="AQ57" t="s">
        <v>74</v>
      </c>
      <c r="AR57" t="s">
        <v>74</v>
      </c>
      <c r="AS57" t="s">
        <v>74</v>
      </c>
      <c r="AT57" t="s">
        <v>610</v>
      </c>
      <c r="AU57">
        <v>2025</v>
      </c>
      <c r="AV57">
        <v>314</v>
      </c>
      <c r="AW57" t="s">
        <v>74</v>
      </c>
      <c r="AX57" t="s">
        <v>74</v>
      </c>
      <c r="AY57" t="s">
        <v>74</v>
      </c>
      <c r="AZ57" t="s">
        <v>74</v>
      </c>
      <c r="BA57" t="s">
        <v>74</v>
      </c>
      <c r="BB57" t="s">
        <v>74</v>
      </c>
      <c r="BC57" t="s">
        <v>74</v>
      </c>
      <c r="BD57">
        <v>117940</v>
      </c>
      <c r="BE57" t="s">
        <v>620</v>
      </c>
      <c r="BF57" t="str">
        <f>HYPERLINK("http://dx.doi.org/10.1016/j.synthmet.2025.117940","http://dx.doi.org/10.1016/j.synthmet.2025.117940")</f>
        <v>http://dx.doi.org/10.1016/j.synthmet.2025.117940</v>
      </c>
      <c r="BG57" t="s">
        <v>74</v>
      </c>
      <c r="BH57" t="s">
        <v>74</v>
      </c>
      <c r="BI57" t="s">
        <v>74</v>
      </c>
      <c r="BJ57" t="s">
        <v>74</v>
      </c>
      <c r="BK57" t="s">
        <v>74</v>
      </c>
      <c r="BL57" t="s">
        <v>74</v>
      </c>
      <c r="BM57" t="s">
        <v>74</v>
      </c>
      <c r="BN57" t="s">
        <v>74</v>
      </c>
      <c r="BO57" t="s">
        <v>74</v>
      </c>
      <c r="BP57" t="s">
        <v>74</v>
      </c>
      <c r="BQ57" t="s">
        <v>74</v>
      </c>
      <c r="BR57" t="s">
        <v>74</v>
      </c>
      <c r="BS57" t="s">
        <v>621</v>
      </c>
      <c r="BT57" t="str">
        <f>HYPERLINK("https%3A%2F%2Fwww.webofscience.com%2Fwos%2Fwoscc%2Ffull-record%2FWOS:001576423100003","View Full Record in Web of Science")</f>
        <v>View Full Record in Web of Science</v>
      </c>
    </row>
    <row r="58" spans="1:72" x14ac:dyDescent="0.2">
      <c r="A58" t="s">
        <v>72</v>
      </c>
      <c r="B58" t="s">
        <v>622</v>
      </c>
      <c r="C58" t="s">
        <v>74</v>
      </c>
      <c r="D58" t="s">
        <v>74</v>
      </c>
      <c r="E58" t="s">
        <v>74</v>
      </c>
      <c r="F58" t="s">
        <v>623</v>
      </c>
      <c r="G58" t="s">
        <v>74</v>
      </c>
      <c r="H58" t="s">
        <v>74</v>
      </c>
      <c r="I58" t="s">
        <v>624</v>
      </c>
      <c r="J58" t="s">
        <v>625</v>
      </c>
      <c r="K58" t="s">
        <v>74</v>
      </c>
      <c r="L58" t="s">
        <v>74</v>
      </c>
      <c r="M58" t="s">
        <v>74</v>
      </c>
      <c r="N58" t="s">
        <v>74</v>
      </c>
      <c r="O58" t="s">
        <v>74</v>
      </c>
      <c r="P58" t="s">
        <v>74</v>
      </c>
      <c r="Q58" t="s">
        <v>74</v>
      </c>
      <c r="R58" t="s">
        <v>74</v>
      </c>
      <c r="S58" t="s">
        <v>74</v>
      </c>
      <c r="T58" t="s">
        <v>74</v>
      </c>
      <c r="U58" t="s">
        <v>74</v>
      </c>
      <c r="V58" t="s">
        <v>626</v>
      </c>
      <c r="W58" t="s">
        <v>74</v>
      </c>
      <c r="X58" t="s">
        <v>74</v>
      </c>
      <c r="Y58" t="s">
        <v>74</v>
      </c>
      <c r="Z58" t="s">
        <v>74</v>
      </c>
      <c r="AA58" t="s">
        <v>627</v>
      </c>
      <c r="AB58" t="s">
        <v>628</v>
      </c>
      <c r="AC58" t="s">
        <v>74</v>
      </c>
      <c r="AD58" t="s">
        <v>74</v>
      </c>
      <c r="AE58" t="s">
        <v>74</v>
      </c>
      <c r="AF58" t="s">
        <v>74</v>
      </c>
      <c r="AG58" t="s">
        <v>74</v>
      </c>
      <c r="AH58" t="s">
        <v>74</v>
      </c>
      <c r="AI58" t="s">
        <v>74</v>
      </c>
      <c r="AJ58" t="s">
        <v>74</v>
      </c>
      <c r="AK58" t="s">
        <v>74</v>
      </c>
      <c r="AL58" t="s">
        <v>74</v>
      </c>
      <c r="AM58" t="s">
        <v>74</v>
      </c>
      <c r="AN58" t="s">
        <v>74</v>
      </c>
      <c r="AO58" t="s">
        <v>629</v>
      </c>
      <c r="AP58" t="s">
        <v>630</v>
      </c>
      <c r="AQ58" t="s">
        <v>74</v>
      </c>
      <c r="AR58" t="s">
        <v>74</v>
      </c>
      <c r="AS58" t="s">
        <v>74</v>
      </c>
      <c r="AT58" t="s">
        <v>631</v>
      </c>
      <c r="AU58">
        <v>2025</v>
      </c>
      <c r="AV58">
        <v>1038</v>
      </c>
      <c r="AW58" t="s">
        <v>74</v>
      </c>
      <c r="AX58" t="s">
        <v>74</v>
      </c>
      <c r="AY58" t="s">
        <v>74</v>
      </c>
      <c r="AZ58" t="s">
        <v>74</v>
      </c>
      <c r="BA58" t="s">
        <v>74</v>
      </c>
      <c r="BB58" t="s">
        <v>74</v>
      </c>
      <c r="BC58" t="s">
        <v>74</v>
      </c>
      <c r="BD58">
        <v>123772</v>
      </c>
      <c r="BE58" t="s">
        <v>632</v>
      </c>
      <c r="BF58" t="str">
        <f>HYPERLINK("http://dx.doi.org/10.1016/j.jorganchem.2025.123772","http://dx.doi.org/10.1016/j.jorganchem.2025.123772")</f>
        <v>http://dx.doi.org/10.1016/j.jorganchem.2025.123772</v>
      </c>
      <c r="BG58" t="s">
        <v>74</v>
      </c>
      <c r="BH58" t="s">
        <v>74</v>
      </c>
      <c r="BI58" t="s">
        <v>74</v>
      </c>
      <c r="BJ58" t="s">
        <v>74</v>
      </c>
      <c r="BK58" t="s">
        <v>74</v>
      </c>
      <c r="BL58" t="s">
        <v>74</v>
      </c>
      <c r="BM58" t="s">
        <v>74</v>
      </c>
      <c r="BN58" t="s">
        <v>74</v>
      </c>
      <c r="BO58" t="s">
        <v>74</v>
      </c>
      <c r="BP58" t="s">
        <v>74</v>
      </c>
      <c r="BQ58" t="s">
        <v>74</v>
      </c>
      <c r="BR58" t="s">
        <v>74</v>
      </c>
      <c r="BS58" t="s">
        <v>633</v>
      </c>
      <c r="BT58" t="str">
        <f>HYPERLINK("https%3A%2F%2Fwww.webofscience.com%2Fwos%2Fwoscc%2Ffull-record%2FWOS:001533585900001","View Full Record in Web of Science")</f>
        <v>View Full Record in Web of Science</v>
      </c>
    </row>
    <row r="59" spans="1:72" x14ac:dyDescent="0.2">
      <c r="A59" t="s">
        <v>72</v>
      </c>
      <c r="B59" t="s">
        <v>634</v>
      </c>
      <c r="C59" t="s">
        <v>74</v>
      </c>
      <c r="D59" t="s">
        <v>74</v>
      </c>
      <c r="E59" t="s">
        <v>74</v>
      </c>
      <c r="F59" t="s">
        <v>635</v>
      </c>
      <c r="G59" t="s">
        <v>74</v>
      </c>
      <c r="H59" t="s">
        <v>74</v>
      </c>
      <c r="I59" t="s">
        <v>636</v>
      </c>
      <c r="J59" t="s">
        <v>637</v>
      </c>
      <c r="K59" t="s">
        <v>74</v>
      </c>
      <c r="L59" t="s">
        <v>74</v>
      </c>
      <c r="M59" t="s">
        <v>74</v>
      </c>
      <c r="N59" t="s">
        <v>74</v>
      </c>
      <c r="O59" t="s">
        <v>74</v>
      </c>
      <c r="P59" t="s">
        <v>74</v>
      </c>
      <c r="Q59" t="s">
        <v>74</v>
      </c>
      <c r="R59" t="s">
        <v>74</v>
      </c>
      <c r="S59" t="s">
        <v>74</v>
      </c>
      <c r="T59" t="s">
        <v>74</v>
      </c>
      <c r="U59" t="s">
        <v>74</v>
      </c>
      <c r="V59" t="s">
        <v>638</v>
      </c>
      <c r="W59" t="s">
        <v>74</v>
      </c>
      <c r="X59" t="s">
        <v>74</v>
      </c>
      <c r="Y59" t="s">
        <v>74</v>
      </c>
      <c r="Z59" t="s">
        <v>74</v>
      </c>
      <c r="AA59" t="s">
        <v>639</v>
      </c>
      <c r="AB59" t="s">
        <v>74</v>
      </c>
      <c r="AC59" t="s">
        <v>74</v>
      </c>
      <c r="AD59" t="s">
        <v>74</v>
      </c>
      <c r="AE59" t="s">
        <v>74</v>
      </c>
      <c r="AF59" t="s">
        <v>74</v>
      </c>
      <c r="AG59" t="s">
        <v>74</v>
      </c>
      <c r="AH59" t="s">
        <v>74</v>
      </c>
      <c r="AI59" t="s">
        <v>74</v>
      </c>
      <c r="AJ59" t="s">
        <v>74</v>
      </c>
      <c r="AK59" t="s">
        <v>74</v>
      </c>
      <c r="AL59" t="s">
        <v>74</v>
      </c>
      <c r="AM59" t="s">
        <v>74</v>
      </c>
      <c r="AN59" t="s">
        <v>74</v>
      </c>
      <c r="AO59" t="s">
        <v>640</v>
      </c>
      <c r="AP59" t="s">
        <v>74</v>
      </c>
      <c r="AQ59" t="s">
        <v>74</v>
      </c>
      <c r="AR59" t="s">
        <v>74</v>
      </c>
      <c r="AS59" t="s">
        <v>74</v>
      </c>
      <c r="AT59" t="s">
        <v>610</v>
      </c>
      <c r="AU59">
        <v>2025</v>
      </c>
      <c r="AV59">
        <v>73</v>
      </c>
      <c r="AW59">
        <v>9</v>
      </c>
      <c r="AX59" t="s">
        <v>74</v>
      </c>
      <c r="AY59" t="s">
        <v>74</v>
      </c>
      <c r="AZ59" t="s">
        <v>74</v>
      </c>
      <c r="BA59" t="s">
        <v>74</v>
      </c>
      <c r="BB59">
        <v>787</v>
      </c>
      <c r="BC59">
        <v>792</v>
      </c>
      <c r="BD59" t="s">
        <v>74</v>
      </c>
      <c r="BE59" t="s">
        <v>641</v>
      </c>
      <c r="BF59" t="str">
        <f>HYPERLINK("http://dx.doi.org/10.1248/cpb.c25-00457","http://dx.doi.org/10.1248/cpb.c25-00457")</f>
        <v>http://dx.doi.org/10.1248/cpb.c25-00457</v>
      </c>
      <c r="BG59" t="s">
        <v>74</v>
      </c>
      <c r="BH59" t="s">
        <v>74</v>
      </c>
      <c r="BI59" t="s">
        <v>74</v>
      </c>
      <c r="BJ59" t="s">
        <v>74</v>
      </c>
      <c r="BK59" t="s">
        <v>74</v>
      </c>
      <c r="BL59" t="s">
        <v>74</v>
      </c>
      <c r="BM59" t="s">
        <v>74</v>
      </c>
      <c r="BN59">
        <v>40903293</v>
      </c>
      <c r="BO59" t="s">
        <v>74</v>
      </c>
      <c r="BP59" t="s">
        <v>74</v>
      </c>
      <c r="BQ59" t="s">
        <v>74</v>
      </c>
      <c r="BR59" t="s">
        <v>74</v>
      </c>
      <c r="BS59" t="s">
        <v>642</v>
      </c>
      <c r="BT59" t="str">
        <f>HYPERLINK("https%3A%2F%2Fwww.webofscience.com%2Fwos%2Fwoscc%2Ffull-record%2FWOS:001564117100001","View Full Record in Web of Science")</f>
        <v>View Full Record in Web of Science</v>
      </c>
    </row>
    <row r="60" spans="1:72" x14ac:dyDescent="0.2">
      <c r="A60" t="s">
        <v>72</v>
      </c>
      <c r="B60" t="s">
        <v>643</v>
      </c>
      <c r="C60" t="s">
        <v>74</v>
      </c>
      <c r="D60" t="s">
        <v>74</v>
      </c>
      <c r="E60" t="s">
        <v>74</v>
      </c>
      <c r="F60" t="s">
        <v>644</v>
      </c>
      <c r="G60" t="s">
        <v>74</v>
      </c>
      <c r="H60" t="s">
        <v>74</v>
      </c>
      <c r="I60" t="s">
        <v>645</v>
      </c>
      <c r="J60" t="s">
        <v>646</v>
      </c>
      <c r="K60" t="s">
        <v>74</v>
      </c>
      <c r="L60" t="s">
        <v>74</v>
      </c>
      <c r="M60" t="s">
        <v>74</v>
      </c>
      <c r="N60" t="s">
        <v>74</v>
      </c>
      <c r="O60" t="s">
        <v>74</v>
      </c>
      <c r="P60" t="s">
        <v>74</v>
      </c>
      <c r="Q60" t="s">
        <v>74</v>
      </c>
      <c r="R60" t="s">
        <v>74</v>
      </c>
      <c r="S60" t="s">
        <v>74</v>
      </c>
      <c r="T60" t="s">
        <v>74</v>
      </c>
      <c r="U60" t="s">
        <v>74</v>
      </c>
      <c r="V60" t="s">
        <v>647</v>
      </c>
      <c r="W60" t="s">
        <v>74</v>
      </c>
      <c r="X60" t="s">
        <v>74</v>
      </c>
      <c r="Y60" t="s">
        <v>74</v>
      </c>
      <c r="Z60" t="s">
        <v>74</v>
      </c>
      <c r="AA60" t="s">
        <v>648</v>
      </c>
      <c r="AB60" t="s">
        <v>74</v>
      </c>
      <c r="AC60" t="s">
        <v>74</v>
      </c>
      <c r="AD60" t="s">
        <v>74</v>
      </c>
      <c r="AE60" t="s">
        <v>74</v>
      </c>
      <c r="AF60" t="s">
        <v>74</v>
      </c>
      <c r="AG60" t="s">
        <v>74</v>
      </c>
      <c r="AH60" t="s">
        <v>74</v>
      </c>
      <c r="AI60" t="s">
        <v>74</v>
      </c>
      <c r="AJ60" t="s">
        <v>74</v>
      </c>
      <c r="AK60" t="s">
        <v>74</v>
      </c>
      <c r="AL60" t="s">
        <v>74</v>
      </c>
      <c r="AM60" t="s">
        <v>74</v>
      </c>
      <c r="AN60" t="s">
        <v>74</v>
      </c>
      <c r="AO60" t="s">
        <v>649</v>
      </c>
      <c r="AP60" t="s">
        <v>650</v>
      </c>
      <c r="AQ60" t="s">
        <v>74</v>
      </c>
      <c r="AR60" t="s">
        <v>74</v>
      </c>
      <c r="AS60" t="s">
        <v>74</v>
      </c>
      <c r="AT60" t="s">
        <v>651</v>
      </c>
      <c r="AU60">
        <v>2025</v>
      </c>
      <c r="AV60">
        <v>25</v>
      </c>
      <c r="AW60">
        <v>18</v>
      </c>
      <c r="AX60" t="s">
        <v>74</v>
      </c>
      <c r="AY60" t="s">
        <v>74</v>
      </c>
      <c r="AZ60" t="s">
        <v>74</v>
      </c>
      <c r="BA60" t="s">
        <v>74</v>
      </c>
      <c r="BB60">
        <v>7466</v>
      </c>
      <c r="BC60">
        <v>7472</v>
      </c>
      <c r="BD60" t="s">
        <v>74</v>
      </c>
      <c r="BE60" t="s">
        <v>652</v>
      </c>
      <c r="BF60" t="str">
        <f>HYPERLINK("http://dx.doi.org/10.1021/acs.cgd.5c00548","http://dx.doi.org/10.1021/acs.cgd.5c00548")</f>
        <v>http://dx.doi.org/10.1021/acs.cgd.5c00548</v>
      </c>
      <c r="BG60" t="s">
        <v>74</v>
      </c>
      <c r="BH60" t="s">
        <v>387</v>
      </c>
      <c r="BI60" t="s">
        <v>74</v>
      </c>
      <c r="BJ60" t="s">
        <v>74</v>
      </c>
      <c r="BK60" t="s">
        <v>74</v>
      </c>
      <c r="BL60" t="s">
        <v>74</v>
      </c>
      <c r="BM60" t="s">
        <v>74</v>
      </c>
      <c r="BN60" t="s">
        <v>74</v>
      </c>
      <c r="BO60" t="s">
        <v>74</v>
      </c>
      <c r="BP60" t="s">
        <v>74</v>
      </c>
      <c r="BQ60" t="s">
        <v>74</v>
      </c>
      <c r="BR60" t="s">
        <v>74</v>
      </c>
      <c r="BS60" t="s">
        <v>653</v>
      </c>
      <c r="BT60" t="str">
        <f>HYPERLINK("https%3A%2F%2Fwww.webofscience.com%2Fwos%2Fwoscc%2Ffull-record%2FWOS:001563018900001","View Full Record in Web of Science")</f>
        <v>View Full Record in Web of Science</v>
      </c>
    </row>
    <row r="61" spans="1:72" x14ac:dyDescent="0.2">
      <c r="A61" t="s">
        <v>72</v>
      </c>
      <c r="B61" t="s">
        <v>654</v>
      </c>
      <c r="C61" t="s">
        <v>74</v>
      </c>
      <c r="D61" t="s">
        <v>74</v>
      </c>
      <c r="E61" t="s">
        <v>74</v>
      </c>
      <c r="F61" t="s">
        <v>655</v>
      </c>
      <c r="G61" t="s">
        <v>74</v>
      </c>
      <c r="H61" t="s">
        <v>74</v>
      </c>
      <c r="I61" t="s">
        <v>656</v>
      </c>
      <c r="J61" t="s">
        <v>657</v>
      </c>
      <c r="K61" t="s">
        <v>74</v>
      </c>
      <c r="L61" t="s">
        <v>74</v>
      </c>
      <c r="M61" t="s">
        <v>74</v>
      </c>
      <c r="N61" t="s">
        <v>74</v>
      </c>
      <c r="O61" t="s">
        <v>74</v>
      </c>
      <c r="P61" t="s">
        <v>74</v>
      </c>
      <c r="Q61" t="s">
        <v>74</v>
      </c>
      <c r="R61" t="s">
        <v>74</v>
      </c>
      <c r="S61" t="s">
        <v>74</v>
      </c>
      <c r="T61" t="s">
        <v>74</v>
      </c>
      <c r="U61" t="s">
        <v>74</v>
      </c>
      <c r="V61" t="s">
        <v>658</v>
      </c>
      <c r="W61" t="s">
        <v>74</v>
      </c>
      <c r="X61" t="s">
        <v>74</v>
      </c>
      <c r="Y61" t="s">
        <v>74</v>
      </c>
      <c r="Z61" t="s">
        <v>74</v>
      </c>
      <c r="AA61" t="s">
        <v>659</v>
      </c>
      <c r="AB61" t="s">
        <v>74</v>
      </c>
      <c r="AC61" t="s">
        <v>74</v>
      </c>
      <c r="AD61" t="s">
        <v>74</v>
      </c>
      <c r="AE61" t="s">
        <v>74</v>
      </c>
      <c r="AF61" t="s">
        <v>74</v>
      </c>
      <c r="AG61" t="s">
        <v>74</v>
      </c>
      <c r="AH61" t="s">
        <v>74</v>
      </c>
      <c r="AI61" t="s">
        <v>74</v>
      </c>
      <c r="AJ61" t="s">
        <v>74</v>
      </c>
      <c r="AK61" t="s">
        <v>74</v>
      </c>
      <c r="AL61" t="s">
        <v>74</v>
      </c>
      <c r="AM61" t="s">
        <v>74</v>
      </c>
      <c r="AN61" t="s">
        <v>74</v>
      </c>
      <c r="AO61" t="s">
        <v>660</v>
      </c>
      <c r="AP61" t="s">
        <v>661</v>
      </c>
      <c r="AQ61" t="s">
        <v>74</v>
      </c>
      <c r="AR61" t="s">
        <v>74</v>
      </c>
      <c r="AS61" t="s">
        <v>74</v>
      </c>
      <c r="AT61" t="s">
        <v>662</v>
      </c>
      <c r="AU61">
        <v>2025</v>
      </c>
      <c r="AV61">
        <v>13</v>
      </c>
      <c r="AW61">
        <v>38</v>
      </c>
      <c r="AX61" t="s">
        <v>74</v>
      </c>
      <c r="AY61" t="s">
        <v>74</v>
      </c>
      <c r="AZ61" t="s">
        <v>74</v>
      </c>
      <c r="BA61" t="s">
        <v>74</v>
      </c>
      <c r="BB61">
        <v>19848</v>
      </c>
      <c r="BC61">
        <v>19855</v>
      </c>
      <c r="BD61" t="s">
        <v>74</v>
      </c>
      <c r="BE61" t="s">
        <v>663</v>
      </c>
      <c r="BF61" t="str">
        <f>HYPERLINK("http://dx.doi.org/10.1039/d5tc02303c","http://dx.doi.org/10.1039/d5tc02303c")</f>
        <v>http://dx.doi.org/10.1039/d5tc02303c</v>
      </c>
      <c r="BG61" t="s">
        <v>74</v>
      </c>
      <c r="BH61" t="s">
        <v>664</v>
      </c>
      <c r="BI61" t="s">
        <v>74</v>
      </c>
      <c r="BJ61" t="s">
        <v>74</v>
      </c>
      <c r="BK61" t="s">
        <v>74</v>
      </c>
      <c r="BL61" t="s">
        <v>74</v>
      </c>
      <c r="BM61" t="s">
        <v>74</v>
      </c>
      <c r="BN61" t="s">
        <v>74</v>
      </c>
      <c r="BO61" t="s">
        <v>74</v>
      </c>
      <c r="BP61" t="s">
        <v>74</v>
      </c>
      <c r="BQ61" t="s">
        <v>74</v>
      </c>
      <c r="BR61" t="s">
        <v>74</v>
      </c>
      <c r="BS61" t="s">
        <v>665</v>
      </c>
      <c r="BT61" t="str">
        <f>HYPERLINK("https%3A%2F%2Fwww.webofscience.com%2Fwos%2Fwoscc%2Ffull-record%2FWOS:001562900000001","View Full Record in Web of Science")</f>
        <v>View Full Record in Web of Science</v>
      </c>
    </row>
    <row r="62" spans="1:72" x14ac:dyDescent="0.2">
      <c r="A62" t="s">
        <v>72</v>
      </c>
      <c r="B62" t="s">
        <v>666</v>
      </c>
      <c r="C62" t="s">
        <v>74</v>
      </c>
      <c r="D62" t="s">
        <v>74</v>
      </c>
      <c r="E62" t="s">
        <v>74</v>
      </c>
      <c r="F62" t="s">
        <v>667</v>
      </c>
      <c r="G62" t="s">
        <v>74</v>
      </c>
      <c r="H62" t="s">
        <v>74</v>
      </c>
      <c r="I62" t="s">
        <v>668</v>
      </c>
      <c r="J62" t="s">
        <v>214</v>
      </c>
      <c r="K62" t="s">
        <v>74</v>
      </c>
      <c r="L62" t="s">
        <v>74</v>
      </c>
      <c r="M62" t="s">
        <v>74</v>
      </c>
      <c r="N62" t="s">
        <v>74</v>
      </c>
      <c r="O62" t="s">
        <v>74</v>
      </c>
      <c r="P62" t="s">
        <v>74</v>
      </c>
      <c r="Q62" t="s">
        <v>74</v>
      </c>
      <c r="R62" t="s">
        <v>74</v>
      </c>
      <c r="S62" t="s">
        <v>74</v>
      </c>
      <c r="T62" t="s">
        <v>74</v>
      </c>
      <c r="U62" t="s">
        <v>74</v>
      </c>
      <c r="V62" t="s">
        <v>669</v>
      </c>
      <c r="W62" t="s">
        <v>74</v>
      </c>
      <c r="X62" t="s">
        <v>74</v>
      </c>
      <c r="Y62" t="s">
        <v>74</v>
      </c>
      <c r="Z62" t="s">
        <v>74</v>
      </c>
      <c r="AA62" t="s">
        <v>670</v>
      </c>
      <c r="AB62" t="s">
        <v>74</v>
      </c>
      <c r="AC62" t="s">
        <v>74</v>
      </c>
      <c r="AD62" t="s">
        <v>74</v>
      </c>
      <c r="AE62" t="s">
        <v>74</v>
      </c>
      <c r="AF62" t="s">
        <v>74</v>
      </c>
      <c r="AG62" t="s">
        <v>74</v>
      </c>
      <c r="AH62" t="s">
        <v>74</v>
      </c>
      <c r="AI62" t="s">
        <v>74</v>
      </c>
      <c r="AJ62" t="s">
        <v>74</v>
      </c>
      <c r="AK62" t="s">
        <v>74</v>
      </c>
      <c r="AL62" t="s">
        <v>74</v>
      </c>
      <c r="AM62" t="s">
        <v>74</v>
      </c>
      <c r="AN62" t="s">
        <v>74</v>
      </c>
      <c r="AO62" t="s">
        <v>74</v>
      </c>
      <c r="AP62" t="s">
        <v>216</v>
      </c>
      <c r="AQ62" t="s">
        <v>74</v>
      </c>
      <c r="AR62" t="s">
        <v>74</v>
      </c>
      <c r="AS62" t="s">
        <v>74</v>
      </c>
      <c r="AT62" t="s">
        <v>671</v>
      </c>
      <c r="AU62">
        <v>2025</v>
      </c>
      <c r="AV62" t="s">
        <v>74</v>
      </c>
      <c r="AW62" t="s">
        <v>74</v>
      </c>
      <c r="AX62" t="s">
        <v>74</v>
      </c>
      <c r="AY62" t="s">
        <v>74</v>
      </c>
      <c r="AZ62" t="s">
        <v>74</v>
      </c>
      <c r="BA62" t="s">
        <v>74</v>
      </c>
      <c r="BB62" t="s">
        <v>74</v>
      </c>
      <c r="BC62" t="s">
        <v>74</v>
      </c>
      <c r="BD62" t="s">
        <v>672</v>
      </c>
      <c r="BE62" t="s">
        <v>673</v>
      </c>
      <c r="BF62" t="str">
        <f>HYPERLINK("http://dx.doi.org/10.1002/anie.202509160","http://dx.doi.org/10.1002/anie.202509160")</f>
        <v>http://dx.doi.org/10.1002/anie.202509160</v>
      </c>
      <c r="BG62" t="s">
        <v>74</v>
      </c>
      <c r="BH62" t="s">
        <v>664</v>
      </c>
      <c r="BI62" t="s">
        <v>74</v>
      </c>
      <c r="BJ62" t="s">
        <v>74</v>
      </c>
      <c r="BK62" t="s">
        <v>74</v>
      </c>
      <c r="BL62" t="s">
        <v>74</v>
      </c>
      <c r="BM62" t="s">
        <v>74</v>
      </c>
      <c r="BN62">
        <v>40884031</v>
      </c>
      <c r="BO62" t="s">
        <v>74</v>
      </c>
      <c r="BP62" t="s">
        <v>74</v>
      </c>
      <c r="BQ62" t="s">
        <v>74</v>
      </c>
      <c r="BR62" t="s">
        <v>74</v>
      </c>
      <c r="BS62" t="s">
        <v>674</v>
      </c>
      <c r="BT62" t="str">
        <f>HYPERLINK("https%3A%2F%2Fwww.webofscience.com%2Fwos%2Fwoscc%2Ffull-record%2FWOS:001560383200001","View Full Record in Web of Science")</f>
        <v>View Full Record in Web of Science</v>
      </c>
    </row>
    <row r="63" spans="1:72" x14ac:dyDescent="0.2">
      <c r="A63" t="s">
        <v>72</v>
      </c>
      <c r="B63" t="s">
        <v>675</v>
      </c>
      <c r="C63" t="s">
        <v>74</v>
      </c>
      <c r="D63" t="s">
        <v>74</v>
      </c>
      <c r="E63" t="s">
        <v>74</v>
      </c>
      <c r="F63" t="s">
        <v>676</v>
      </c>
      <c r="G63" t="s">
        <v>74</v>
      </c>
      <c r="H63" t="s">
        <v>74</v>
      </c>
      <c r="I63" t="s">
        <v>677</v>
      </c>
      <c r="J63" t="s">
        <v>403</v>
      </c>
      <c r="K63" t="s">
        <v>74</v>
      </c>
      <c r="L63" t="s">
        <v>74</v>
      </c>
      <c r="M63" t="s">
        <v>74</v>
      </c>
      <c r="N63" t="s">
        <v>74</v>
      </c>
      <c r="O63" t="s">
        <v>74</v>
      </c>
      <c r="P63" t="s">
        <v>74</v>
      </c>
      <c r="Q63" t="s">
        <v>74</v>
      </c>
      <c r="R63" t="s">
        <v>74</v>
      </c>
      <c r="S63" t="s">
        <v>74</v>
      </c>
      <c r="T63" t="s">
        <v>74</v>
      </c>
      <c r="U63" t="s">
        <v>74</v>
      </c>
      <c r="V63" t="s">
        <v>678</v>
      </c>
      <c r="W63" t="s">
        <v>74</v>
      </c>
      <c r="X63" t="s">
        <v>74</v>
      </c>
      <c r="Y63" t="s">
        <v>74</v>
      </c>
      <c r="Z63" t="s">
        <v>74</v>
      </c>
      <c r="AA63" t="s">
        <v>679</v>
      </c>
      <c r="AB63" t="s">
        <v>74</v>
      </c>
      <c r="AC63" t="s">
        <v>74</v>
      </c>
      <c r="AD63" t="s">
        <v>74</v>
      </c>
      <c r="AE63" t="s">
        <v>74</v>
      </c>
      <c r="AF63" t="s">
        <v>74</v>
      </c>
      <c r="AG63" t="s">
        <v>74</v>
      </c>
      <c r="AH63" t="s">
        <v>74</v>
      </c>
      <c r="AI63" t="s">
        <v>74</v>
      </c>
      <c r="AJ63" t="s">
        <v>74</v>
      </c>
      <c r="AK63" t="s">
        <v>74</v>
      </c>
      <c r="AL63" t="s">
        <v>74</v>
      </c>
      <c r="AM63" t="s">
        <v>74</v>
      </c>
      <c r="AN63" t="s">
        <v>74</v>
      </c>
      <c r="AO63" t="s">
        <v>405</v>
      </c>
      <c r="AP63" t="s">
        <v>406</v>
      </c>
      <c r="AQ63" t="s">
        <v>74</v>
      </c>
      <c r="AR63" t="s">
        <v>74</v>
      </c>
      <c r="AS63" t="s">
        <v>74</v>
      </c>
      <c r="AT63" t="s">
        <v>680</v>
      </c>
      <c r="AU63">
        <v>2025</v>
      </c>
      <c r="AV63" t="s">
        <v>74</v>
      </c>
      <c r="AW63" t="s">
        <v>74</v>
      </c>
      <c r="AX63" t="s">
        <v>74</v>
      </c>
      <c r="AY63" t="s">
        <v>74</v>
      </c>
      <c r="AZ63" t="s">
        <v>74</v>
      </c>
      <c r="BA63" t="s">
        <v>74</v>
      </c>
      <c r="BB63" t="s">
        <v>74</v>
      </c>
      <c r="BC63" t="s">
        <v>74</v>
      </c>
      <c r="BD63" t="s">
        <v>681</v>
      </c>
      <c r="BE63" t="s">
        <v>682</v>
      </c>
      <c r="BF63" t="str">
        <f>HYPERLINK("http://dx.doi.org/10.1002/smll.202509667","http://dx.doi.org/10.1002/smll.202509667")</f>
        <v>http://dx.doi.org/10.1002/smll.202509667</v>
      </c>
      <c r="BG63" t="s">
        <v>74</v>
      </c>
      <c r="BH63" t="s">
        <v>664</v>
      </c>
      <c r="BI63" t="s">
        <v>74</v>
      </c>
      <c r="BJ63" t="s">
        <v>74</v>
      </c>
      <c r="BK63" t="s">
        <v>74</v>
      </c>
      <c r="BL63" t="s">
        <v>74</v>
      </c>
      <c r="BM63" t="s">
        <v>74</v>
      </c>
      <c r="BN63">
        <v>40878401</v>
      </c>
      <c r="BO63" t="s">
        <v>74</v>
      </c>
      <c r="BP63" t="s">
        <v>74</v>
      </c>
      <c r="BQ63" t="s">
        <v>74</v>
      </c>
      <c r="BR63" t="s">
        <v>74</v>
      </c>
      <c r="BS63" t="s">
        <v>683</v>
      </c>
      <c r="BT63" t="str">
        <f>HYPERLINK("https%3A%2F%2Fwww.webofscience.com%2Fwos%2Fwoscc%2Ffull-record%2FWOS:001559864800001","View Full Record in Web of Science")</f>
        <v>View Full Record in Web of Science</v>
      </c>
    </row>
    <row r="64" spans="1:72" x14ac:dyDescent="0.2">
      <c r="A64" t="s">
        <v>72</v>
      </c>
      <c r="B64" t="s">
        <v>684</v>
      </c>
      <c r="C64" t="s">
        <v>74</v>
      </c>
      <c r="D64" t="s">
        <v>74</v>
      </c>
      <c r="E64" t="s">
        <v>74</v>
      </c>
      <c r="F64" t="s">
        <v>685</v>
      </c>
      <c r="G64" t="s">
        <v>74</v>
      </c>
      <c r="H64" t="s">
        <v>74</v>
      </c>
      <c r="I64" t="s">
        <v>686</v>
      </c>
      <c r="J64" t="s">
        <v>687</v>
      </c>
      <c r="K64" t="s">
        <v>74</v>
      </c>
      <c r="L64" t="s">
        <v>74</v>
      </c>
      <c r="M64" t="s">
        <v>74</v>
      </c>
      <c r="N64" t="s">
        <v>74</v>
      </c>
      <c r="O64" t="s">
        <v>74</v>
      </c>
      <c r="P64" t="s">
        <v>74</v>
      </c>
      <c r="Q64" t="s">
        <v>74</v>
      </c>
      <c r="R64" t="s">
        <v>74</v>
      </c>
      <c r="S64" t="s">
        <v>74</v>
      </c>
      <c r="T64" t="s">
        <v>74</v>
      </c>
      <c r="U64" t="s">
        <v>74</v>
      </c>
      <c r="V64" t="s">
        <v>688</v>
      </c>
      <c r="W64" t="s">
        <v>74</v>
      </c>
      <c r="X64" t="s">
        <v>74</v>
      </c>
      <c r="Y64" t="s">
        <v>74</v>
      </c>
      <c r="Z64" t="s">
        <v>74</v>
      </c>
      <c r="AA64" t="s">
        <v>74</v>
      </c>
      <c r="AB64" t="s">
        <v>74</v>
      </c>
      <c r="AC64" t="s">
        <v>74</v>
      </c>
      <c r="AD64" t="s">
        <v>74</v>
      </c>
      <c r="AE64" t="s">
        <v>74</v>
      </c>
      <c r="AF64" t="s">
        <v>74</v>
      </c>
      <c r="AG64" t="s">
        <v>74</v>
      </c>
      <c r="AH64" t="s">
        <v>74</v>
      </c>
      <c r="AI64" t="s">
        <v>74</v>
      </c>
      <c r="AJ64" t="s">
        <v>74</v>
      </c>
      <c r="AK64" t="s">
        <v>74</v>
      </c>
      <c r="AL64" t="s">
        <v>74</v>
      </c>
      <c r="AM64" t="s">
        <v>74</v>
      </c>
      <c r="AN64" t="s">
        <v>74</v>
      </c>
      <c r="AO64" t="s">
        <v>689</v>
      </c>
      <c r="AP64" t="s">
        <v>690</v>
      </c>
      <c r="AQ64" t="s">
        <v>74</v>
      </c>
      <c r="AR64" t="s">
        <v>74</v>
      </c>
      <c r="AS64" t="s">
        <v>74</v>
      </c>
      <c r="AT64" t="s">
        <v>691</v>
      </c>
      <c r="AU64">
        <v>2025</v>
      </c>
      <c r="AV64">
        <v>17</v>
      </c>
      <c r="AW64">
        <v>36</v>
      </c>
      <c r="AX64" t="s">
        <v>74</v>
      </c>
      <c r="AY64" t="s">
        <v>74</v>
      </c>
      <c r="AZ64" t="s">
        <v>74</v>
      </c>
      <c r="BA64" t="s">
        <v>74</v>
      </c>
      <c r="BB64">
        <v>50805</v>
      </c>
      <c r="BC64">
        <v>50813</v>
      </c>
      <c r="BD64" t="s">
        <v>74</v>
      </c>
      <c r="BE64" t="s">
        <v>692</v>
      </c>
      <c r="BF64" t="str">
        <f>HYPERLINK("http://dx.doi.org/10.1021/acsami.5c12954","http://dx.doi.org/10.1021/acsami.5c12954")</f>
        <v>http://dx.doi.org/10.1021/acsami.5c12954</v>
      </c>
      <c r="BG64" t="s">
        <v>74</v>
      </c>
      <c r="BH64" t="s">
        <v>664</v>
      </c>
      <c r="BI64" t="s">
        <v>74</v>
      </c>
      <c r="BJ64" t="s">
        <v>74</v>
      </c>
      <c r="BK64" t="s">
        <v>74</v>
      </c>
      <c r="BL64" t="s">
        <v>74</v>
      </c>
      <c r="BM64" t="s">
        <v>74</v>
      </c>
      <c r="BN64">
        <v>40873261</v>
      </c>
      <c r="BO64" t="s">
        <v>74</v>
      </c>
      <c r="BP64" t="s">
        <v>74</v>
      </c>
      <c r="BQ64" t="s">
        <v>74</v>
      </c>
      <c r="BR64" t="s">
        <v>74</v>
      </c>
      <c r="BS64" t="s">
        <v>693</v>
      </c>
      <c r="BT64" t="str">
        <f>HYPERLINK("https%3A%2F%2Fwww.webofscience.com%2Fwos%2Fwoscc%2Ffull-record%2FWOS:001560899000001","View Full Record in Web of Science")</f>
        <v>View Full Record in Web of Science</v>
      </c>
    </row>
    <row r="65" spans="1:72" x14ac:dyDescent="0.2">
      <c r="A65" t="s">
        <v>72</v>
      </c>
      <c r="B65" t="s">
        <v>694</v>
      </c>
      <c r="C65" t="s">
        <v>74</v>
      </c>
      <c r="D65" t="s">
        <v>74</v>
      </c>
      <c r="E65" t="s">
        <v>74</v>
      </c>
      <c r="F65" t="s">
        <v>695</v>
      </c>
      <c r="G65" t="s">
        <v>74</v>
      </c>
      <c r="H65" t="s">
        <v>74</v>
      </c>
      <c r="I65" t="s">
        <v>696</v>
      </c>
      <c r="J65" t="s">
        <v>697</v>
      </c>
      <c r="K65" t="s">
        <v>74</v>
      </c>
      <c r="L65" t="s">
        <v>74</v>
      </c>
      <c r="M65" t="s">
        <v>74</v>
      </c>
      <c r="N65" t="s">
        <v>74</v>
      </c>
      <c r="O65" t="s">
        <v>74</v>
      </c>
      <c r="P65" t="s">
        <v>74</v>
      </c>
      <c r="Q65" t="s">
        <v>74</v>
      </c>
      <c r="R65" t="s">
        <v>74</v>
      </c>
      <c r="S65" t="s">
        <v>74</v>
      </c>
      <c r="T65" t="s">
        <v>74</v>
      </c>
      <c r="U65" t="s">
        <v>74</v>
      </c>
      <c r="V65" t="s">
        <v>698</v>
      </c>
      <c r="W65" t="s">
        <v>74</v>
      </c>
      <c r="X65" t="s">
        <v>74</v>
      </c>
      <c r="Y65" t="s">
        <v>74</v>
      </c>
      <c r="Z65" t="s">
        <v>74</v>
      </c>
      <c r="AA65" t="s">
        <v>699</v>
      </c>
      <c r="AB65" t="s">
        <v>74</v>
      </c>
      <c r="AC65" t="s">
        <v>74</v>
      </c>
      <c r="AD65" t="s">
        <v>74</v>
      </c>
      <c r="AE65" t="s">
        <v>74</v>
      </c>
      <c r="AF65" t="s">
        <v>74</v>
      </c>
      <c r="AG65" t="s">
        <v>74</v>
      </c>
      <c r="AH65" t="s">
        <v>74</v>
      </c>
      <c r="AI65" t="s">
        <v>74</v>
      </c>
      <c r="AJ65" t="s">
        <v>74</v>
      </c>
      <c r="AK65" t="s">
        <v>74</v>
      </c>
      <c r="AL65" t="s">
        <v>74</v>
      </c>
      <c r="AM65" t="s">
        <v>74</v>
      </c>
      <c r="AN65" t="s">
        <v>74</v>
      </c>
      <c r="AO65" t="s">
        <v>74</v>
      </c>
      <c r="AP65" t="s">
        <v>700</v>
      </c>
      <c r="AQ65" t="s">
        <v>74</v>
      </c>
      <c r="AR65" t="s">
        <v>74</v>
      </c>
      <c r="AS65" t="s">
        <v>74</v>
      </c>
      <c r="AT65" t="s">
        <v>287</v>
      </c>
      <c r="AU65">
        <v>2025</v>
      </c>
      <c r="AV65">
        <v>9</v>
      </c>
      <c r="AW65">
        <v>20</v>
      </c>
      <c r="AX65" t="s">
        <v>74</v>
      </c>
      <c r="AY65" t="s">
        <v>74</v>
      </c>
      <c r="AZ65" t="s">
        <v>74</v>
      </c>
      <c r="BA65" t="s">
        <v>74</v>
      </c>
      <c r="BB65">
        <v>3034</v>
      </c>
      <c r="BC65">
        <v>3043</v>
      </c>
      <c r="BD65" t="s">
        <v>74</v>
      </c>
      <c r="BE65" t="s">
        <v>701</v>
      </c>
      <c r="BF65" t="str">
        <f>HYPERLINK("http://dx.doi.org/10.1039/d5qm00583c","http://dx.doi.org/10.1039/d5qm00583c")</f>
        <v>http://dx.doi.org/10.1039/d5qm00583c</v>
      </c>
      <c r="BG65" t="s">
        <v>74</v>
      </c>
      <c r="BH65" t="s">
        <v>664</v>
      </c>
      <c r="BI65" t="s">
        <v>74</v>
      </c>
      <c r="BJ65" t="s">
        <v>74</v>
      </c>
      <c r="BK65" t="s">
        <v>74</v>
      </c>
      <c r="BL65" t="s">
        <v>74</v>
      </c>
      <c r="BM65" t="s">
        <v>74</v>
      </c>
      <c r="BN65" t="s">
        <v>74</v>
      </c>
      <c r="BO65" t="s">
        <v>74</v>
      </c>
      <c r="BP65" t="s">
        <v>74</v>
      </c>
      <c r="BQ65" t="s">
        <v>74</v>
      </c>
      <c r="BR65" t="s">
        <v>74</v>
      </c>
      <c r="BS65" t="s">
        <v>702</v>
      </c>
      <c r="BT65" t="str">
        <f>HYPERLINK("https%3A%2F%2Fwww.webofscience.com%2Fwos%2Fwoscc%2Ffull-record%2FWOS:001562830700001","View Full Record in Web of Science")</f>
        <v>View Full Record in Web of Science</v>
      </c>
    </row>
    <row r="66" spans="1:72" x14ac:dyDescent="0.2">
      <c r="A66" t="s">
        <v>72</v>
      </c>
      <c r="B66" t="s">
        <v>703</v>
      </c>
      <c r="C66" t="s">
        <v>74</v>
      </c>
      <c r="D66" t="s">
        <v>74</v>
      </c>
      <c r="E66" t="s">
        <v>74</v>
      </c>
      <c r="F66" t="s">
        <v>704</v>
      </c>
      <c r="G66" t="s">
        <v>74</v>
      </c>
      <c r="H66" t="s">
        <v>74</v>
      </c>
      <c r="I66" t="s">
        <v>705</v>
      </c>
      <c r="J66" t="s">
        <v>706</v>
      </c>
      <c r="K66" t="s">
        <v>74</v>
      </c>
      <c r="L66" t="s">
        <v>74</v>
      </c>
      <c r="M66" t="s">
        <v>74</v>
      </c>
      <c r="N66" t="s">
        <v>74</v>
      </c>
      <c r="O66" t="s">
        <v>74</v>
      </c>
      <c r="P66" t="s">
        <v>74</v>
      </c>
      <c r="Q66" t="s">
        <v>74</v>
      </c>
      <c r="R66" t="s">
        <v>74</v>
      </c>
      <c r="S66" t="s">
        <v>74</v>
      </c>
      <c r="T66" t="s">
        <v>74</v>
      </c>
      <c r="U66" t="s">
        <v>74</v>
      </c>
      <c r="V66" t="s">
        <v>707</v>
      </c>
      <c r="W66" t="s">
        <v>74</v>
      </c>
      <c r="X66" t="s">
        <v>74</v>
      </c>
      <c r="Y66" t="s">
        <v>74</v>
      </c>
      <c r="Z66" t="s">
        <v>74</v>
      </c>
      <c r="AA66" t="s">
        <v>708</v>
      </c>
      <c r="AB66" t="s">
        <v>74</v>
      </c>
      <c r="AC66" t="s">
        <v>74</v>
      </c>
      <c r="AD66" t="s">
        <v>74</v>
      </c>
      <c r="AE66" t="s">
        <v>74</v>
      </c>
      <c r="AF66" t="s">
        <v>74</v>
      </c>
      <c r="AG66" t="s">
        <v>74</v>
      </c>
      <c r="AH66" t="s">
        <v>74</v>
      </c>
      <c r="AI66" t="s">
        <v>74</v>
      </c>
      <c r="AJ66" t="s">
        <v>74</v>
      </c>
      <c r="AK66" t="s">
        <v>74</v>
      </c>
      <c r="AL66" t="s">
        <v>74</v>
      </c>
      <c r="AM66" t="s">
        <v>74</v>
      </c>
      <c r="AN66" t="s">
        <v>74</v>
      </c>
      <c r="AO66" t="s">
        <v>709</v>
      </c>
      <c r="AP66" t="s">
        <v>710</v>
      </c>
      <c r="AQ66" t="s">
        <v>74</v>
      </c>
      <c r="AR66" t="s">
        <v>74</v>
      </c>
      <c r="AS66" t="s">
        <v>74</v>
      </c>
      <c r="AT66" t="s">
        <v>711</v>
      </c>
      <c r="AU66">
        <v>2025</v>
      </c>
      <c r="AV66">
        <v>61</v>
      </c>
      <c r="AW66">
        <v>78</v>
      </c>
      <c r="AX66" t="s">
        <v>74</v>
      </c>
      <c r="AY66" t="s">
        <v>74</v>
      </c>
      <c r="AZ66" t="s">
        <v>74</v>
      </c>
      <c r="BA66" t="s">
        <v>74</v>
      </c>
      <c r="BB66">
        <v>15183</v>
      </c>
      <c r="BC66">
        <v>15186</v>
      </c>
      <c r="BD66" t="s">
        <v>74</v>
      </c>
      <c r="BE66" t="s">
        <v>712</v>
      </c>
      <c r="BF66" t="str">
        <f>HYPERLINK("http://dx.doi.org/10.1039/d5cc04548g","http://dx.doi.org/10.1039/d5cc04548g")</f>
        <v>http://dx.doi.org/10.1039/d5cc04548g</v>
      </c>
      <c r="BG66" t="s">
        <v>74</v>
      </c>
      <c r="BH66" t="s">
        <v>664</v>
      </c>
      <c r="BI66" t="s">
        <v>74</v>
      </c>
      <c r="BJ66" t="s">
        <v>74</v>
      </c>
      <c r="BK66" t="s">
        <v>74</v>
      </c>
      <c r="BL66" t="s">
        <v>74</v>
      </c>
      <c r="BM66" t="s">
        <v>74</v>
      </c>
      <c r="BN66">
        <v>40910269</v>
      </c>
      <c r="BO66" t="s">
        <v>74</v>
      </c>
      <c r="BP66" t="s">
        <v>74</v>
      </c>
      <c r="BQ66" t="s">
        <v>74</v>
      </c>
      <c r="BR66" t="s">
        <v>74</v>
      </c>
      <c r="BS66" t="s">
        <v>713</v>
      </c>
      <c r="BT66" t="str">
        <f>HYPERLINK("https%3A%2F%2Fwww.webofscience.com%2Fwos%2Fwoscc%2Ffull-record%2FWOS:001564334500001","View Full Record in Web of Science")</f>
        <v>View Full Record in Web of Science</v>
      </c>
    </row>
    <row r="67" spans="1:72" x14ac:dyDescent="0.2">
      <c r="A67" t="s">
        <v>72</v>
      </c>
      <c r="B67" t="s">
        <v>714</v>
      </c>
      <c r="C67" t="s">
        <v>74</v>
      </c>
      <c r="D67" t="s">
        <v>74</v>
      </c>
      <c r="E67" t="s">
        <v>74</v>
      </c>
      <c r="F67" t="s">
        <v>715</v>
      </c>
      <c r="G67" t="s">
        <v>74</v>
      </c>
      <c r="H67" t="s">
        <v>74</v>
      </c>
      <c r="I67" t="s">
        <v>716</v>
      </c>
      <c r="J67" t="s">
        <v>370</v>
      </c>
      <c r="K67" t="s">
        <v>74</v>
      </c>
      <c r="L67" t="s">
        <v>74</v>
      </c>
      <c r="M67" t="s">
        <v>74</v>
      </c>
      <c r="N67" t="s">
        <v>74</v>
      </c>
      <c r="O67" t="s">
        <v>74</v>
      </c>
      <c r="P67" t="s">
        <v>74</v>
      </c>
      <c r="Q67" t="s">
        <v>74</v>
      </c>
      <c r="R67" t="s">
        <v>74</v>
      </c>
      <c r="S67" t="s">
        <v>74</v>
      </c>
      <c r="T67" t="s">
        <v>74</v>
      </c>
      <c r="U67" t="s">
        <v>74</v>
      </c>
      <c r="V67" t="s">
        <v>717</v>
      </c>
      <c r="W67" t="s">
        <v>74</v>
      </c>
      <c r="X67" t="s">
        <v>74</v>
      </c>
      <c r="Y67" t="s">
        <v>74</v>
      </c>
      <c r="Z67" t="s">
        <v>74</v>
      </c>
      <c r="AA67" t="s">
        <v>74</v>
      </c>
      <c r="AB67" t="s">
        <v>74</v>
      </c>
      <c r="AC67" t="s">
        <v>74</v>
      </c>
      <c r="AD67" t="s">
        <v>74</v>
      </c>
      <c r="AE67" t="s">
        <v>74</v>
      </c>
      <c r="AF67" t="s">
        <v>74</v>
      </c>
      <c r="AG67" t="s">
        <v>74</v>
      </c>
      <c r="AH67" t="s">
        <v>74</v>
      </c>
      <c r="AI67" t="s">
        <v>74</v>
      </c>
      <c r="AJ67" t="s">
        <v>74</v>
      </c>
      <c r="AK67" t="s">
        <v>74</v>
      </c>
      <c r="AL67" t="s">
        <v>74</v>
      </c>
      <c r="AM67" t="s">
        <v>74</v>
      </c>
      <c r="AN67" t="s">
        <v>74</v>
      </c>
      <c r="AO67" t="s">
        <v>374</v>
      </c>
      <c r="AP67" t="s">
        <v>375</v>
      </c>
      <c r="AQ67" t="s">
        <v>74</v>
      </c>
      <c r="AR67" t="s">
        <v>74</v>
      </c>
      <c r="AS67" t="s">
        <v>74</v>
      </c>
      <c r="AT67" t="s">
        <v>184</v>
      </c>
      <c r="AU67">
        <v>2025</v>
      </c>
      <c r="AV67">
        <v>735</v>
      </c>
      <c r="AW67" t="s">
        <v>74</v>
      </c>
      <c r="AX67" t="s">
        <v>74</v>
      </c>
      <c r="AY67" t="s">
        <v>74</v>
      </c>
      <c r="AZ67" t="s">
        <v>74</v>
      </c>
      <c r="BA67" t="s">
        <v>74</v>
      </c>
      <c r="BB67" t="s">
        <v>74</v>
      </c>
      <c r="BC67" t="s">
        <v>74</v>
      </c>
      <c r="BD67">
        <v>124555</v>
      </c>
      <c r="BE67" t="s">
        <v>718</v>
      </c>
      <c r="BF67" t="str">
        <f>HYPERLINK("http://dx.doi.org/10.1016/j.memsci.2025.124555","http://dx.doi.org/10.1016/j.memsci.2025.124555")</f>
        <v>http://dx.doi.org/10.1016/j.memsci.2025.124555</v>
      </c>
      <c r="BG67" t="s">
        <v>74</v>
      </c>
      <c r="BH67" t="s">
        <v>664</v>
      </c>
      <c r="BI67" t="s">
        <v>74</v>
      </c>
      <c r="BJ67" t="s">
        <v>74</v>
      </c>
      <c r="BK67" t="s">
        <v>74</v>
      </c>
      <c r="BL67" t="s">
        <v>74</v>
      </c>
      <c r="BM67" t="s">
        <v>74</v>
      </c>
      <c r="BN67" t="s">
        <v>74</v>
      </c>
      <c r="BO67" t="s">
        <v>74</v>
      </c>
      <c r="BP67" t="s">
        <v>74</v>
      </c>
      <c r="BQ67" t="s">
        <v>74</v>
      </c>
      <c r="BR67" t="s">
        <v>74</v>
      </c>
      <c r="BS67" t="s">
        <v>719</v>
      </c>
      <c r="BT67" t="str">
        <f>HYPERLINK("https%3A%2F%2Fwww.webofscience.com%2Fwos%2Fwoscc%2Ffull-record%2FWOS:001561981800001","View Full Record in Web of Science")</f>
        <v>View Full Record in Web of Science</v>
      </c>
    </row>
    <row r="68" spans="1:72" x14ac:dyDescent="0.2">
      <c r="A68" t="s">
        <v>72</v>
      </c>
      <c r="B68" t="s">
        <v>720</v>
      </c>
      <c r="C68" t="s">
        <v>74</v>
      </c>
      <c r="D68" t="s">
        <v>74</v>
      </c>
      <c r="E68" t="s">
        <v>74</v>
      </c>
      <c r="F68" t="s">
        <v>721</v>
      </c>
      <c r="G68" t="s">
        <v>74</v>
      </c>
      <c r="H68" t="s">
        <v>74</v>
      </c>
      <c r="I68" t="s">
        <v>722</v>
      </c>
      <c r="J68" t="s">
        <v>706</v>
      </c>
      <c r="K68" t="s">
        <v>74</v>
      </c>
      <c r="L68" t="s">
        <v>74</v>
      </c>
      <c r="M68" t="s">
        <v>74</v>
      </c>
      <c r="N68" t="s">
        <v>74</v>
      </c>
      <c r="O68" t="s">
        <v>74</v>
      </c>
      <c r="P68" t="s">
        <v>74</v>
      </c>
      <c r="Q68" t="s">
        <v>74</v>
      </c>
      <c r="R68" t="s">
        <v>74</v>
      </c>
      <c r="S68" t="s">
        <v>74</v>
      </c>
      <c r="T68" t="s">
        <v>74</v>
      </c>
      <c r="U68" t="s">
        <v>74</v>
      </c>
      <c r="V68" t="s">
        <v>723</v>
      </c>
      <c r="W68" t="s">
        <v>74</v>
      </c>
      <c r="X68" t="s">
        <v>74</v>
      </c>
      <c r="Y68" t="s">
        <v>74</v>
      </c>
      <c r="Z68" t="s">
        <v>74</v>
      </c>
      <c r="AA68" t="s">
        <v>724</v>
      </c>
      <c r="AB68" t="s">
        <v>74</v>
      </c>
      <c r="AC68" t="s">
        <v>74</v>
      </c>
      <c r="AD68" t="s">
        <v>74</v>
      </c>
      <c r="AE68" t="s">
        <v>74</v>
      </c>
      <c r="AF68" t="s">
        <v>74</v>
      </c>
      <c r="AG68" t="s">
        <v>74</v>
      </c>
      <c r="AH68" t="s">
        <v>74</v>
      </c>
      <c r="AI68" t="s">
        <v>74</v>
      </c>
      <c r="AJ68" t="s">
        <v>74</v>
      </c>
      <c r="AK68" t="s">
        <v>74</v>
      </c>
      <c r="AL68" t="s">
        <v>74</v>
      </c>
      <c r="AM68" t="s">
        <v>74</v>
      </c>
      <c r="AN68" t="s">
        <v>74</v>
      </c>
      <c r="AO68" t="s">
        <v>709</v>
      </c>
      <c r="AP68" t="s">
        <v>710</v>
      </c>
      <c r="AQ68" t="s">
        <v>74</v>
      </c>
      <c r="AR68" t="s">
        <v>74</v>
      </c>
      <c r="AS68" t="s">
        <v>74</v>
      </c>
      <c r="AT68" t="s">
        <v>711</v>
      </c>
      <c r="AU68">
        <v>2025</v>
      </c>
      <c r="AV68">
        <v>61</v>
      </c>
      <c r="AW68">
        <v>78</v>
      </c>
      <c r="AX68" t="s">
        <v>74</v>
      </c>
      <c r="AY68" t="s">
        <v>74</v>
      </c>
      <c r="AZ68" t="s">
        <v>74</v>
      </c>
      <c r="BA68" t="s">
        <v>74</v>
      </c>
      <c r="BB68">
        <v>15199</v>
      </c>
      <c r="BC68">
        <v>15202</v>
      </c>
      <c r="BD68" t="s">
        <v>74</v>
      </c>
      <c r="BE68" t="s">
        <v>725</v>
      </c>
      <c r="BF68" t="str">
        <f>HYPERLINK("http://dx.doi.org/10.1039/d5cc03932k","http://dx.doi.org/10.1039/d5cc03932k")</f>
        <v>http://dx.doi.org/10.1039/d5cc03932k</v>
      </c>
      <c r="BG68" t="s">
        <v>74</v>
      </c>
      <c r="BH68" t="s">
        <v>664</v>
      </c>
      <c r="BI68" t="s">
        <v>74</v>
      </c>
      <c r="BJ68" t="s">
        <v>74</v>
      </c>
      <c r="BK68" t="s">
        <v>74</v>
      </c>
      <c r="BL68" t="s">
        <v>74</v>
      </c>
      <c r="BM68" t="s">
        <v>74</v>
      </c>
      <c r="BN68">
        <v>40899371</v>
      </c>
      <c r="BO68" t="s">
        <v>74</v>
      </c>
      <c r="BP68" t="s">
        <v>74</v>
      </c>
      <c r="BQ68" t="s">
        <v>74</v>
      </c>
      <c r="BR68" t="s">
        <v>74</v>
      </c>
      <c r="BS68" t="s">
        <v>726</v>
      </c>
      <c r="BT68" t="str">
        <f>HYPERLINK("https%3A%2F%2Fwww.webofscience.com%2Fwos%2Fwoscc%2Ffull-record%2FWOS:001562250600001","View Full Record in Web of Science")</f>
        <v>View Full Record in Web of Science</v>
      </c>
    </row>
    <row r="69" spans="1:72" x14ac:dyDescent="0.2">
      <c r="A69" t="s">
        <v>72</v>
      </c>
      <c r="B69" t="s">
        <v>727</v>
      </c>
      <c r="C69" t="s">
        <v>74</v>
      </c>
      <c r="D69" t="s">
        <v>74</v>
      </c>
      <c r="E69" t="s">
        <v>74</v>
      </c>
      <c r="F69" t="s">
        <v>728</v>
      </c>
      <c r="G69" t="s">
        <v>74</v>
      </c>
      <c r="H69" t="s">
        <v>74</v>
      </c>
      <c r="I69" t="s">
        <v>729</v>
      </c>
      <c r="J69" t="s">
        <v>730</v>
      </c>
      <c r="K69" t="s">
        <v>74</v>
      </c>
      <c r="L69" t="s">
        <v>74</v>
      </c>
      <c r="M69" t="s">
        <v>74</v>
      </c>
      <c r="N69" t="s">
        <v>74</v>
      </c>
      <c r="O69" t="s">
        <v>74</v>
      </c>
      <c r="P69" t="s">
        <v>74</v>
      </c>
      <c r="Q69" t="s">
        <v>74</v>
      </c>
      <c r="R69" t="s">
        <v>74</v>
      </c>
      <c r="S69" t="s">
        <v>74</v>
      </c>
      <c r="T69" t="s">
        <v>74</v>
      </c>
      <c r="U69" t="s">
        <v>74</v>
      </c>
      <c r="V69" t="s">
        <v>731</v>
      </c>
      <c r="W69" t="s">
        <v>74</v>
      </c>
      <c r="X69" t="s">
        <v>74</v>
      </c>
      <c r="Y69" t="s">
        <v>74</v>
      </c>
      <c r="Z69" t="s">
        <v>74</v>
      </c>
      <c r="AA69" t="s">
        <v>732</v>
      </c>
      <c r="AB69" t="s">
        <v>74</v>
      </c>
      <c r="AC69" t="s">
        <v>74</v>
      </c>
      <c r="AD69" t="s">
        <v>74</v>
      </c>
      <c r="AE69" t="s">
        <v>74</v>
      </c>
      <c r="AF69" t="s">
        <v>74</v>
      </c>
      <c r="AG69" t="s">
        <v>74</v>
      </c>
      <c r="AH69" t="s">
        <v>74</v>
      </c>
      <c r="AI69" t="s">
        <v>74</v>
      </c>
      <c r="AJ69" t="s">
        <v>74</v>
      </c>
      <c r="AK69" t="s">
        <v>74</v>
      </c>
      <c r="AL69" t="s">
        <v>74</v>
      </c>
      <c r="AM69" t="s">
        <v>74</v>
      </c>
      <c r="AN69" t="s">
        <v>74</v>
      </c>
      <c r="AO69" t="s">
        <v>733</v>
      </c>
      <c r="AP69" t="s">
        <v>734</v>
      </c>
      <c r="AQ69" t="s">
        <v>74</v>
      </c>
      <c r="AR69" t="s">
        <v>74</v>
      </c>
      <c r="AS69" t="s">
        <v>74</v>
      </c>
      <c r="AT69" t="s">
        <v>735</v>
      </c>
      <c r="AU69">
        <v>2025</v>
      </c>
      <c r="AV69">
        <v>27</v>
      </c>
      <c r="AW69">
        <v>35</v>
      </c>
      <c r="AX69" t="s">
        <v>74</v>
      </c>
      <c r="AY69" t="s">
        <v>74</v>
      </c>
      <c r="AZ69" t="s">
        <v>74</v>
      </c>
      <c r="BA69" t="s">
        <v>74</v>
      </c>
      <c r="BB69">
        <v>9613</v>
      </c>
      <c r="BC69">
        <v>9618</v>
      </c>
      <c r="BD69" t="s">
        <v>74</v>
      </c>
      <c r="BE69" t="s">
        <v>736</v>
      </c>
      <c r="BF69" t="str">
        <f>HYPERLINK("http://dx.doi.org/10.1021/acs.orglett.5c02655","http://dx.doi.org/10.1021/acs.orglett.5c02655")</f>
        <v>http://dx.doi.org/10.1021/acs.orglett.5c02655</v>
      </c>
      <c r="BG69" t="s">
        <v>74</v>
      </c>
      <c r="BH69" t="s">
        <v>664</v>
      </c>
      <c r="BI69" t="s">
        <v>74</v>
      </c>
      <c r="BJ69" t="s">
        <v>74</v>
      </c>
      <c r="BK69" t="s">
        <v>74</v>
      </c>
      <c r="BL69" t="s">
        <v>74</v>
      </c>
      <c r="BM69" t="s">
        <v>74</v>
      </c>
      <c r="BN69">
        <v>40851416</v>
      </c>
      <c r="BO69" t="s">
        <v>74</v>
      </c>
      <c r="BP69" t="s">
        <v>74</v>
      </c>
      <c r="BQ69" t="s">
        <v>74</v>
      </c>
      <c r="BR69" t="s">
        <v>74</v>
      </c>
      <c r="BS69" t="s">
        <v>737</v>
      </c>
      <c r="BT69" t="str">
        <f>HYPERLINK("https%3A%2F%2Fwww.webofscience.com%2Fwos%2Fwoscc%2Ffull-record%2FWOS:001555732600001","View Full Record in Web of Science")</f>
        <v>View Full Record in Web of Science</v>
      </c>
    </row>
    <row r="70" spans="1:72" x14ac:dyDescent="0.2">
      <c r="A70" t="s">
        <v>72</v>
      </c>
      <c r="B70" t="s">
        <v>738</v>
      </c>
      <c r="C70" t="s">
        <v>74</v>
      </c>
      <c r="D70" t="s">
        <v>74</v>
      </c>
      <c r="E70" t="s">
        <v>74</v>
      </c>
      <c r="F70" t="s">
        <v>739</v>
      </c>
      <c r="G70" t="s">
        <v>74</v>
      </c>
      <c r="H70" t="s">
        <v>74</v>
      </c>
      <c r="I70" t="s">
        <v>740</v>
      </c>
      <c r="J70" t="s">
        <v>741</v>
      </c>
      <c r="K70" t="s">
        <v>74</v>
      </c>
      <c r="L70" t="s">
        <v>74</v>
      </c>
      <c r="M70" t="s">
        <v>74</v>
      </c>
      <c r="N70" t="s">
        <v>74</v>
      </c>
      <c r="O70" t="s">
        <v>74</v>
      </c>
      <c r="P70" t="s">
        <v>74</v>
      </c>
      <c r="Q70" t="s">
        <v>74</v>
      </c>
      <c r="R70" t="s">
        <v>74</v>
      </c>
      <c r="S70" t="s">
        <v>74</v>
      </c>
      <c r="T70" t="s">
        <v>74</v>
      </c>
      <c r="U70" t="s">
        <v>74</v>
      </c>
      <c r="V70" t="s">
        <v>742</v>
      </c>
      <c r="W70" t="s">
        <v>74</v>
      </c>
      <c r="X70" t="s">
        <v>74</v>
      </c>
      <c r="Y70" t="s">
        <v>74</v>
      </c>
      <c r="Z70" t="s">
        <v>74</v>
      </c>
      <c r="AA70" t="s">
        <v>743</v>
      </c>
      <c r="AB70" t="s">
        <v>74</v>
      </c>
      <c r="AC70" t="s">
        <v>74</v>
      </c>
      <c r="AD70" t="s">
        <v>74</v>
      </c>
      <c r="AE70" t="s">
        <v>74</v>
      </c>
      <c r="AF70" t="s">
        <v>74</v>
      </c>
      <c r="AG70" t="s">
        <v>74</v>
      </c>
      <c r="AH70" t="s">
        <v>74</v>
      </c>
      <c r="AI70" t="s">
        <v>74</v>
      </c>
      <c r="AJ70" t="s">
        <v>74</v>
      </c>
      <c r="AK70" t="s">
        <v>74</v>
      </c>
      <c r="AL70" t="s">
        <v>74</v>
      </c>
      <c r="AM70" t="s">
        <v>74</v>
      </c>
      <c r="AN70" t="s">
        <v>74</v>
      </c>
      <c r="AO70" t="s">
        <v>744</v>
      </c>
      <c r="AP70" t="s">
        <v>745</v>
      </c>
      <c r="AQ70" t="s">
        <v>74</v>
      </c>
      <c r="AR70" t="s">
        <v>74</v>
      </c>
      <c r="AS70" t="s">
        <v>74</v>
      </c>
      <c r="AT70" t="s">
        <v>746</v>
      </c>
      <c r="AU70">
        <v>2025</v>
      </c>
      <c r="AV70" t="s">
        <v>74</v>
      </c>
      <c r="AW70" t="s">
        <v>74</v>
      </c>
      <c r="AX70" t="s">
        <v>74</v>
      </c>
      <c r="AY70" t="s">
        <v>74</v>
      </c>
      <c r="AZ70" t="s">
        <v>74</v>
      </c>
      <c r="BA70" t="s">
        <v>74</v>
      </c>
      <c r="BB70" t="s">
        <v>74</v>
      </c>
      <c r="BC70" t="s">
        <v>74</v>
      </c>
      <c r="BD70" t="s">
        <v>74</v>
      </c>
      <c r="BE70" t="s">
        <v>747</v>
      </c>
      <c r="BF70" t="str">
        <f>HYPERLINK("http://dx.doi.org/10.1039/d5mh00620a","http://dx.doi.org/10.1039/d5mh00620a")</f>
        <v>http://dx.doi.org/10.1039/d5mh00620a</v>
      </c>
      <c r="BG70" t="s">
        <v>74</v>
      </c>
      <c r="BH70" t="s">
        <v>664</v>
      </c>
      <c r="BI70" t="s">
        <v>74</v>
      </c>
      <c r="BJ70" t="s">
        <v>74</v>
      </c>
      <c r="BK70" t="s">
        <v>74</v>
      </c>
      <c r="BL70" t="s">
        <v>74</v>
      </c>
      <c r="BM70" t="s">
        <v>74</v>
      </c>
      <c r="BN70">
        <v>40955593</v>
      </c>
      <c r="BO70" t="s">
        <v>74</v>
      </c>
      <c r="BP70" t="s">
        <v>74</v>
      </c>
      <c r="BQ70" t="s">
        <v>74</v>
      </c>
      <c r="BR70" t="s">
        <v>74</v>
      </c>
      <c r="BS70" t="s">
        <v>748</v>
      </c>
      <c r="BT70" t="str">
        <f>HYPERLINK("https%3A%2F%2Fwww.webofscience.com%2Fwos%2Fwoscc%2Ffull-record%2FWOS:001573058900001","View Full Record in Web of Science")</f>
        <v>View Full Record in Web of Science</v>
      </c>
    </row>
    <row r="71" spans="1:72" x14ac:dyDescent="0.2">
      <c r="A71" t="s">
        <v>72</v>
      </c>
      <c r="B71" t="s">
        <v>749</v>
      </c>
      <c r="C71" t="s">
        <v>74</v>
      </c>
      <c r="D71" t="s">
        <v>74</v>
      </c>
      <c r="E71" t="s">
        <v>74</v>
      </c>
      <c r="F71" t="s">
        <v>750</v>
      </c>
      <c r="G71" t="s">
        <v>74</v>
      </c>
      <c r="H71" t="s">
        <v>74</v>
      </c>
      <c r="I71" t="s">
        <v>751</v>
      </c>
      <c r="J71" t="s">
        <v>413</v>
      </c>
      <c r="K71" t="s">
        <v>74</v>
      </c>
      <c r="L71" t="s">
        <v>74</v>
      </c>
      <c r="M71" t="s">
        <v>74</v>
      </c>
      <c r="N71" t="s">
        <v>74</v>
      </c>
      <c r="O71" t="s">
        <v>74</v>
      </c>
      <c r="P71" t="s">
        <v>74</v>
      </c>
      <c r="Q71" t="s">
        <v>74</v>
      </c>
      <c r="R71" t="s">
        <v>74</v>
      </c>
      <c r="S71" t="s">
        <v>74</v>
      </c>
      <c r="T71" t="s">
        <v>74</v>
      </c>
      <c r="U71" t="s">
        <v>74</v>
      </c>
      <c r="V71" t="s">
        <v>752</v>
      </c>
      <c r="W71" t="s">
        <v>74</v>
      </c>
      <c r="X71" t="s">
        <v>74</v>
      </c>
      <c r="Y71" t="s">
        <v>74</v>
      </c>
      <c r="Z71" t="s">
        <v>74</v>
      </c>
      <c r="AA71" t="s">
        <v>753</v>
      </c>
      <c r="AB71" t="s">
        <v>754</v>
      </c>
      <c r="AC71" t="s">
        <v>74</v>
      </c>
      <c r="AD71" t="s">
        <v>74</v>
      </c>
      <c r="AE71" t="s">
        <v>74</v>
      </c>
      <c r="AF71" t="s">
        <v>74</v>
      </c>
      <c r="AG71" t="s">
        <v>74</v>
      </c>
      <c r="AH71" t="s">
        <v>74</v>
      </c>
      <c r="AI71" t="s">
        <v>74</v>
      </c>
      <c r="AJ71" t="s">
        <v>74</v>
      </c>
      <c r="AK71" t="s">
        <v>74</v>
      </c>
      <c r="AL71" t="s">
        <v>74</v>
      </c>
      <c r="AM71" t="s">
        <v>74</v>
      </c>
      <c r="AN71" t="s">
        <v>74</v>
      </c>
      <c r="AO71" t="s">
        <v>417</v>
      </c>
      <c r="AP71" t="s">
        <v>418</v>
      </c>
      <c r="AQ71" t="s">
        <v>74</v>
      </c>
      <c r="AR71" t="s">
        <v>74</v>
      </c>
      <c r="AS71" t="s">
        <v>74</v>
      </c>
      <c r="AT71" t="s">
        <v>755</v>
      </c>
      <c r="AU71">
        <v>2025</v>
      </c>
      <c r="AV71">
        <v>147</v>
      </c>
      <c r="AW71">
        <v>35</v>
      </c>
      <c r="AX71" t="s">
        <v>74</v>
      </c>
      <c r="AY71" t="s">
        <v>74</v>
      </c>
      <c r="AZ71" t="s">
        <v>74</v>
      </c>
      <c r="BA71" t="s">
        <v>74</v>
      </c>
      <c r="BB71">
        <v>32178</v>
      </c>
      <c r="BC71">
        <v>32186</v>
      </c>
      <c r="BD71" t="s">
        <v>74</v>
      </c>
      <c r="BE71" t="s">
        <v>756</v>
      </c>
      <c r="BF71" t="str">
        <f>HYPERLINK("http://dx.doi.org/10.1021/jacs.5c11337","http://dx.doi.org/10.1021/jacs.5c11337")</f>
        <v>http://dx.doi.org/10.1021/jacs.5c11337</v>
      </c>
      <c r="BG71" t="s">
        <v>74</v>
      </c>
      <c r="BH71" t="s">
        <v>664</v>
      </c>
      <c r="BI71" t="s">
        <v>74</v>
      </c>
      <c r="BJ71" t="s">
        <v>74</v>
      </c>
      <c r="BK71" t="s">
        <v>74</v>
      </c>
      <c r="BL71" t="s">
        <v>74</v>
      </c>
      <c r="BM71" t="s">
        <v>74</v>
      </c>
      <c r="BN71">
        <v>40846667</v>
      </c>
      <c r="BO71" t="s">
        <v>74</v>
      </c>
      <c r="BP71" t="s">
        <v>74</v>
      </c>
      <c r="BQ71" t="s">
        <v>74</v>
      </c>
      <c r="BR71" t="s">
        <v>74</v>
      </c>
      <c r="BS71" t="s">
        <v>757</v>
      </c>
      <c r="BT71" t="str">
        <f>HYPERLINK("https%3A%2F%2Fwww.webofscience.com%2Fwos%2Fwoscc%2Ffull-record%2FWOS:001555733000001","View Full Record in Web of Science")</f>
        <v>View Full Record in Web of Science</v>
      </c>
    </row>
    <row r="72" spans="1:72" x14ac:dyDescent="0.2">
      <c r="A72" t="s">
        <v>72</v>
      </c>
      <c r="B72" t="s">
        <v>758</v>
      </c>
      <c r="C72" t="s">
        <v>74</v>
      </c>
      <c r="D72" t="s">
        <v>74</v>
      </c>
      <c r="E72" t="s">
        <v>74</v>
      </c>
      <c r="F72" t="s">
        <v>759</v>
      </c>
      <c r="G72" t="s">
        <v>74</v>
      </c>
      <c r="H72" t="s">
        <v>74</v>
      </c>
      <c r="I72" t="s">
        <v>760</v>
      </c>
      <c r="J72" t="s">
        <v>761</v>
      </c>
      <c r="K72" t="s">
        <v>74</v>
      </c>
      <c r="L72" t="s">
        <v>74</v>
      </c>
      <c r="M72" t="s">
        <v>74</v>
      </c>
      <c r="N72" t="s">
        <v>74</v>
      </c>
      <c r="O72" t="s">
        <v>74</v>
      </c>
      <c r="P72" t="s">
        <v>74</v>
      </c>
      <c r="Q72" t="s">
        <v>74</v>
      </c>
      <c r="R72" t="s">
        <v>74</v>
      </c>
      <c r="S72" t="s">
        <v>74</v>
      </c>
      <c r="T72" t="s">
        <v>74</v>
      </c>
      <c r="U72" t="s">
        <v>74</v>
      </c>
      <c r="V72" t="s">
        <v>762</v>
      </c>
      <c r="W72" t="s">
        <v>74</v>
      </c>
      <c r="X72" t="s">
        <v>74</v>
      </c>
      <c r="Y72" t="s">
        <v>74</v>
      </c>
      <c r="Z72" t="s">
        <v>74</v>
      </c>
      <c r="AA72" t="s">
        <v>74</v>
      </c>
      <c r="AB72" t="s">
        <v>74</v>
      </c>
      <c r="AC72" t="s">
        <v>74</v>
      </c>
      <c r="AD72" t="s">
        <v>74</v>
      </c>
      <c r="AE72" t="s">
        <v>74</v>
      </c>
      <c r="AF72" t="s">
        <v>74</v>
      </c>
      <c r="AG72" t="s">
        <v>74</v>
      </c>
      <c r="AH72" t="s">
        <v>74</v>
      </c>
      <c r="AI72" t="s">
        <v>74</v>
      </c>
      <c r="AJ72" t="s">
        <v>74</v>
      </c>
      <c r="AK72" t="s">
        <v>74</v>
      </c>
      <c r="AL72" t="s">
        <v>74</v>
      </c>
      <c r="AM72" t="s">
        <v>74</v>
      </c>
      <c r="AN72" t="s">
        <v>74</v>
      </c>
      <c r="AO72" t="s">
        <v>763</v>
      </c>
      <c r="AP72" t="s">
        <v>764</v>
      </c>
      <c r="AQ72" t="s">
        <v>74</v>
      </c>
      <c r="AR72" t="s">
        <v>74</v>
      </c>
      <c r="AS72" t="s">
        <v>74</v>
      </c>
      <c r="AT72" t="s">
        <v>765</v>
      </c>
      <c r="AU72">
        <v>2025</v>
      </c>
      <c r="AV72">
        <v>26</v>
      </c>
      <c r="AW72">
        <v>17</v>
      </c>
      <c r="AX72" t="s">
        <v>74</v>
      </c>
      <c r="AY72" t="s">
        <v>74</v>
      </c>
      <c r="AZ72" t="s">
        <v>74</v>
      </c>
      <c r="BA72" t="s">
        <v>74</v>
      </c>
      <c r="BB72" t="s">
        <v>74</v>
      </c>
      <c r="BC72" t="s">
        <v>74</v>
      </c>
      <c r="BD72">
        <v>8141</v>
      </c>
      <c r="BE72" t="s">
        <v>766</v>
      </c>
      <c r="BF72" t="str">
        <f>HYPERLINK("http://dx.doi.org/10.3390/ijms26178141","http://dx.doi.org/10.3390/ijms26178141")</f>
        <v>http://dx.doi.org/10.3390/ijms26178141</v>
      </c>
      <c r="BG72" t="s">
        <v>74</v>
      </c>
      <c r="BH72" t="s">
        <v>74</v>
      </c>
      <c r="BI72" t="s">
        <v>74</v>
      </c>
      <c r="BJ72" t="s">
        <v>74</v>
      </c>
      <c r="BK72" t="s">
        <v>74</v>
      </c>
      <c r="BL72" t="s">
        <v>74</v>
      </c>
      <c r="BM72" t="s">
        <v>74</v>
      </c>
      <c r="BN72">
        <v>40943065</v>
      </c>
      <c r="BO72" t="s">
        <v>74</v>
      </c>
      <c r="BP72" t="s">
        <v>74</v>
      </c>
      <c r="BQ72" t="s">
        <v>74</v>
      </c>
      <c r="BR72" t="s">
        <v>74</v>
      </c>
      <c r="BS72" t="s">
        <v>767</v>
      </c>
      <c r="BT72" t="str">
        <f>HYPERLINK("https%3A%2F%2Fwww.webofscience.com%2Fwos%2Fwoscc%2Ffull-record%2FWOS:001569820600001","View Full Record in Web of Science")</f>
        <v>View Full Record in Web of Science</v>
      </c>
    </row>
    <row r="73" spans="1:72" x14ac:dyDescent="0.2">
      <c r="A73" t="s">
        <v>72</v>
      </c>
      <c r="B73" t="s">
        <v>768</v>
      </c>
      <c r="C73" t="s">
        <v>74</v>
      </c>
      <c r="D73" t="s">
        <v>74</v>
      </c>
      <c r="E73" t="s">
        <v>74</v>
      </c>
      <c r="F73" t="s">
        <v>769</v>
      </c>
      <c r="G73" t="s">
        <v>74</v>
      </c>
      <c r="H73" t="s">
        <v>74</v>
      </c>
      <c r="I73" t="s">
        <v>770</v>
      </c>
      <c r="J73" t="s">
        <v>771</v>
      </c>
      <c r="K73" t="s">
        <v>74</v>
      </c>
      <c r="L73" t="s">
        <v>74</v>
      </c>
      <c r="M73" t="s">
        <v>74</v>
      </c>
      <c r="N73" t="s">
        <v>74</v>
      </c>
      <c r="O73" t="s">
        <v>74</v>
      </c>
      <c r="P73" t="s">
        <v>74</v>
      </c>
      <c r="Q73" t="s">
        <v>74</v>
      </c>
      <c r="R73" t="s">
        <v>74</v>
      </c>
      <c r="S73" t="s">
        <v>74</v>
      </c>
      <c r="T73" t="s">
        <v>74</v>
      </c>
      <c r="U73" t="s">
        <v>74</v>
      </c>
      <c r="V73" t="s">
        <v>772</v>
      </c>
      <c r="W73" t="s">
        <v>74</v>
      </c>
      <c r="X73" t="s">
        <v>74</v>
      </c>
      <c r="Y73" t="s">
        <v>74</v>
      </c>
      <c r="Z73" t="s">
        <v>74</v>
      </c>
      <c r="AA73" t="s">
        <v>773</v>
      </c>
      <c r="AB73" t="s">
        <v>774</v>
      </c>
      <c r="AC73" t="s">
        <v>74</v>
      </c>
      <c r="AD73" t="s">
        <v>74</v>
      </c>
      <c r="AE73" t="s">
        <v>74</v>
      </c>
      <c r="AF73" t="s">
        <v>74</v>
      </c>
      <c r="AG73" t="s">
        <v>74</v>
      </c>
      <c r="AH73" t="s">
        <v>74</v>
      </c>
      <c r="AI73" t="s">
        <v>74</v>
      </c>
      <c r="AJ73" t="s">
        <v>74</v>
      </c>
      <c r="AK73" t="s">
        <v>74</v>
      </c>
      <c r="AL73" t="s">
        <v>74</v>
      </c>
      <c r="AM73" t="s">
        <v>74</v>
      </c>
      <c r="AN73" t="s">
        <v>74</v>
      </c>
      <c r="AO73" t="s">
        <v>775</v>
      </c>
      <c r="AP73" t="s">
        <v>776</v>
      </c>
      <c r="AQ73" t="s">
        <v>74</v>
      </c>
      <c r="AR73" t="s">
        <v>74</v>
      </c>
      <c r="AS73" t="s">
        <v>74</v>
      </c>
      <c r="AT73" t="s">
        <v>777</v>
      </c>
      <c r="AU73">
        <v>2025</v>
      </c>
      <c r="AV73">
        <v>97</v>
      </c>
      <c r="AW73">
        <v>35</v>
      </c>
      <c r="AX73" t="s">
        <v>74</v>
      </c>
      <c r="AY73" t="s">
        <v>74</v>
      </c>
      <c r="AZ73" t="s">
        <v>74</v>
      </c>
      <c r="BA73" t="s">
        <v>74</v>
      </c>
      <c r="BB73">
        <v>19080</v>
      </c>
      <c r="BC73">
        <v>19091</v>
      </c>
      <c r="BD73" t="s">
        <v>74</v>
      </c>
      <c r="BE73" t="s">
        <v>778</v>
      </c>
      <c r="BF73" t="str">
        <f>HYPERLINK("http://dx.doi.org/10.1021/acs.analchem.5c02384","http://dx.doi.org/10.1021/acs.analchem.5c02384")</f>
        <v>http://dx.doi.org/10.1021/acs.analchem.5c02384</v>
      </c>
      <c r="BG73" t="s">
        <v>74</v>
      </c>
      <c r="BH73" t="s">
        <v>664</v>
      </c>
      <c r="BI73" t="s">
        <v>74</v>
      </c>
      <c r="BJ73" t="s">
        <v>74</v>
      </c>
      <c r="BK73" t="s">
        <v>74</v>
      </c>
      <c r="BL73" t="s">
        <v>74</v>
      </c>
      <c r="BM73" t="s">
        <v>74</v>
      </c>
      <c r="BN73">
        <v>40846635</v>
      </c>
      <c r="BO73" t="s">
        <v>74</v>
      </c>
      <c r="BP73" t="s">
        <v>74</v>
      </c>
      <c r="BQ73" t="s">
        <v>74</v>
      </c>
      <c r="BR73" t="s">
        <v>74</v>
      </c>
      <c r="BS73" t="s">
        <v>779</v>
      </c>
      <c r="BT73" t="str">
        <f>HYPERLINK("https%3A%2F%2Fwww.webofscience.com%2Fwos%2Fwoscc%2Ffull-record%2FWOS:001555743300001","View Full Record in Web of Science")</f>
        <v>View Full Record in Web of Science</v>
      </c>
    </row>
    <row r="74" spans="1:72" x14ac:dyDescent="0.2">
      <c r="A74" t="s">
        <v>72</v>
      </c>
      <c r="B74" t="s">
        <v>780</v>
      </c>
      <c r="C74" t="s">
        <v>74</v>
      </c>
      <c r="D74" t="s">
        <v>74</v>
      </c>
      <c r="E74" t="s">
        <v>74</v>
      </c>
      <c r="F74" t="s">
        <v>781</v>
      </c>
      <c r="G74" t="s">
        <v>74</v>
      </c>
      <c r="H74" t="s">
        <v>74</v>
      </c>
      <c r="I74" t="s">
        <v>782</v>
      </c>
      <c r="J74" t="s">
        <v>413</v>
      </c>
      <c r="K74" t="s">
        <v>74</v>
      </c>
      <c r="L74" t="s">
        <v>74</v>
      </c>
      <c r="M74" t="s">
        <v>74</v>
      </c>
      <c r="N74" t="s">
        <v>74</v>
      </c>
      <c r="O74" t="s">
        <v>74</v>
      </c>
      <c r="P74" t="s">
        <v>74</v>
      </c>
      <c r="Q74" t="s">
        <v>74</v>
      </c>
      <c r="R74" t="s">
        <v>74</v>
      </c>
      <c r="S74" t="s">
        <v>74</v>
      </c>
      <c r="T74" t="s">
        <v>74</v>
      </c>
      <c r="U74" t="s">
        <v>74</v>
      </c>
      <c r="V74" t="s">
        <v>783</v>
      </c>
      <c r="W74" t="s">
        <v>74</v>
      </c>
      <c r="X74" t="s">
        <v>74</v>
      </c>
      <c r="Y74" t="s">
        <v>74</v>
      </c>
      <c r="Z74" t="s">
        <v>74</v>
      </c>
      <c r="AA74" t="s">
        <v>784</v>
      </c>
      <c r="AB74" t="s">
        <v>74</v>
      </c>
      <c r="AC74" t="s">
        <v>74</v>
      </c>
      <c r="AD74" t="s">
        <v>74</v>
      </c>
      <c r="AE74" t="s">
        <v>74</v>
      </c>
      <c r="AF74" t="s">
        <v>74</v>
      </c>
      <c r="AG74" t="s">
        <v>74</v>
      </c>
      <c r="AH74" t="s">
        <v>74</v>
      </c>
      <c r="AI74" t="s">
        <v>74</v>
      </c>
      <c r="AJ74" t="s">
        <v>74</v>
      </c>
      <c r="AK74" t="s">
        <v>74</v>
      </c>
      <c r="AL74" t="s">
        <v>74</v>
      </c>
      <c r="AM74" t="s">
        <v>74</v>
      </c>
      <c r="AN74" t="s">
        <v>74</v>
      </c>
      <c r="AO74" t="s">
        <v>417</v>
      </c>
      <c r="AP74" t="s">
        <v>418</v>
      </c>
      <c r="AQ74" t="s">
        <v>74</v>
      </c>
      <c r="AR74" t="s">
        <v>74</v>
      </c>
      <c r="AS74" t="s">
        <v>74</v>
      </c>
      <c r="AT74" t="s">
        <v>755</v>
      </c>
      <c r="AU74">
        <v>2025</v>
      </c>
      <c r="AV74">
        <v>147</v>
      </c>
      <c r="AW74">
        <v>35</v>
      </c>
      <c r="AX74" t="s">
        <v>74</v>
      </c>
      <c r="AY74" t="s">
        <v>74</v>
      </c>
      <c r="AZ74" t="s">
        <v>74</v>
      </c>
      <c r="BA74" t="s">
        <v>74</v>
      </c>
      <c r="BB74">
        <v>31920</v>
      </c>
      <c r="BC74">
        <v>31929</v>
      </c>
      <c r="BD74" t="s">
        <v>74</v>
      </c>
      <c r="BE74" t="s">
        <v>785</v>
      </c>
      <c r="BF74" t="str">
        <f>HYPERLINK("http://dx.doi.org/10.1021/jacs.5c09631","http://dx.doi.org/10.1021/jacs.5c09631")</f>
        <v>http://dx.doi.org/10.1021/jacs.5c09631</v>
      </c>
      <c r="BG74" t="s">
        <v>74</v>
      </c>
      <c r="BH74" t="s">
        <v>664</v>
      </c>
      <c r="BI74" t="s">
        <v>74</v>
      </c>
      <c r="BJ74" t="s">
        <v>74</v>
      </c>
      <c r="BK74" t="s">
        <v>74</v>
      </c>
      <c r="BL74" t="s">
        <v>74</v>
      </c>
      <c r="BM74" t="s">
        <v>74</v>
      </c>
      <c r="BN74">
        <v>40834359</v>
      </c>
      <c r="BO74" t="s">
        <v>74</v>
      </c>
      <c r="BP74" t="s">
        <v>74</v>
      </c>
      <c r="BQ74" t="s">
        <v>74</v>
      </c>
      <c r="BR74" t="s">
        <v>74</v>
      </c>
      <c r="BS74" t="s">
        <v>786</v>
      </c>
      <c r="BT74" t="str">
        <f>HYPERLINK("https%3A%2F%2Fwww.webofscience.com%2Fwos%2Fwoscc%2Ffull-record%2FWOS:001554100300001","View Full Record in Web of Science")</f>
        <v>View Full Record in Web of Science</v>
      </c>
    </row>
    <row r="75" spans="1:72" x14ac:dyDescent="0.2">
      <c r="A75" t="s">
        <v>72</v>
      </c>
      <c r="B75" t="s">
        <v>787</v>
      </c>
      <c r="C75" t="s">
        <v>74</v>
      </c>
      <c r="D75" t="s">
        <v>74</v>
      </c>
      <c r="E75" t="s">
        <v>74</v>
      </c>
      <c r="F75" t="s">
        <v>788</v>
      </c>
      <c r="G75" t="s">
        <v>74</v>
      </c>
      <c r="H75" t="s">
        <v>74</v>
      </c>
      <c r="I75" t="s">
        <v>789</v>
      </c>
      <c r="J75" t="s">
        <v>687</v>
      </c>
      <c r="K75" t="s">
        <v>74</v>
      </c>
      <c r="L75" t="s">
        <v>74</v>
      </c>
      <c r="M75" t="s">
        <v>74</v>
      </c>
      <c r="N75" t="s">
        <v>74</v>
      </c>
      <c r="O75" t="s">
        <v>74</v>
      </c>
      <c r="P75" t="s">
        <v>74</v>
      </c>
      <c r="Q75" t="s">
        <v>74</v>
      </c>
      <c r="R75" t="s">
        <v>74</v>
      </c>
      <c r="S75" t="s">
        <v>74</v>
      </c>
      <c r="T75" t="s">
        <v>74</v>
      </c>
      <c r="U75" t="s">
        <v>74</v>
      </c>
      <c r="V75" t="s">
        <v>790</v>
      </c>
      <c r="W75" t="s">
        <v>74</v>
      </c>
      <c r="X75" t="s">
        <v>74</v>
      </c>
      <c r="Y75" t="s">
        <v>74</v>
      </c>
      <c r="Z75" t="s">
        <v>74</v>
      </c>
      <c r="AA75" t="s">
        <v>791</v>
      </c>
      <c r="AB75" t="s">
        <v>792</v>
      </c>
      <c r="AC75" t="s">
        <v>74</v>
      </c>
      <c r="AD75" t="s">
        <v>74</v>
      </c>
      <c r="AE75" t="s">
        <v>74</v>
      </c>
      <c r="AF75" t="s">
        <v>74</v>
      </c>
      <c r="AG75" t="s">
        <v>74</v>
      </c>
      <c r="AH75" t="s">
        <v>74</v>
      </c>
      <c r="AI75" t="s">
        <v>74</v>
      </c>
      <c r="AJ75" t="s">
        <v>74</v>
      </c>
      <c r="AK75" t="s">
        <v>74</v>
      </c>
      <c r="AL75" t="s">
        <v>74</v>
      </c>
      <c r="AM75" t="s">
        <v>74</v>
      </c>
      <c r="AN75" t="s">
        <v>74</v>
      </c>
      <c r="AO75" t="s">
        <v>689</v>
      </c>
      <c r="AP75" t="s">
        <v>690</v>
      </c>
      <c r="AQ75" t="s">
        <v>74</v>
      </c>
      <c r="AR75" t="s">
        <v>74</v>
      </c>
      <c r="AS75" t="s">
        <v>74</v>
      </c>
      <c r="AT75" t="s">
        <v>793</v>
      </c>
      <c r="AU75">
        <v>2025</v>
      </c>
      <c r="AV75">
        <v>17</v>
      </c>
      <c r="AW75">
        <v>34</v>
      </c>
      <c r="AX75" t="s">
        <v>74</v>
      </c>
      <c r="AY75" t="s">
        <v>74</v>
      </c>
      <c r="AZ75" t="s">
        <v>74</v>
      </c>
      <c r="BA75" t="s">
        <v>74</v>
      </c>
      <c r="BB75">
        <v>48863</v>
      </c>
      <c r="BC75">
        <v>48872</v>
      </c>
      <c r="BD75" t="s">
        <v>74</v>
      </c>
      <c r="BE75" t="s">
        <v>794</v>
      </c>
      <c r="BF75" t="str">
        <f>HYPERLINK("http://dx.doi.org/10.1021/acsami.5c08629","http://dx.doi.org/10.1021/acsami.5c08629")</f>
        <v>http://dx.doi.org/10.1021/acsami.5c08629</v>
      </c>
      <c r="BG75" t="s">
        <v>74</v>
      </c>
      <c r="BH75" t="s">
        <v>664</v>
      </c>
      <c r="BI75" t="s">
        <v>74</v>
      </c>
      <c r="BJ75" t="s">
        <v>74</v>
      </c>
      <c r="BK75" t="s">
        <v>74</v>
      </c>
      <c r="BL75" t="s">
        <v>74</v>
      </c>
      <c r="BM75" t="s">
        <v>74</v>
      </c>
      <c r="BN75">
        <v>40825099</v>
      </c>
      <c r="BO75" t="s">
        <v>74</v>
      </c>
      <c r="BP75" t="s">
        <v>74</v>
      </c>
      <c r="BQ75" t="s">
        <v>74</v>
      </c>
      <c r="BR75" t="s">
        <v>74</v>
      </c>
      <c r="BS75" t="s">
        <v>795</v>
      </c>
      <c r="BT75" t="str">
        <f>HYPERLINK("https%3A%2F%2Fwww.webofscience.com%2Fwos%2Fwoscc%2Ffull-record%2FWOS:001552019500001","View Full Record in Web of Science")</f>
        <v>View Full Record in Web of Science</v>
      </c>
    </row>
    <row r="76" spans="1:72" x14ac:dyDescent="0.2">
      <c r="A76" t="s">
        <v>72</v>
      </c>
      <c r="B76" t="s">
        <v>796</v>
      </c>
      <c r="C76" t="s">
        <v>74</v>
      </c>
      <c r="D76" t="s">
        <v>74</v>
      </c>
      <c r="E76" t="s">
        <v>74</v>
      </c>
      <c r="F76" t="s">
        <v>797</v>
      </c>
      <c r="G76" t="s">
        <v>74</v>
      </c>
      <c r="H76" t="s">
        <v>74</v>
      </c>
      <c r="I76" t="s">
        <v>798</v>
      </c>
      <c r="J76" t="s">
        <v>171</v>
      </c>
      <c r="K76" t="s">
        <v>74</v>
      </c>
      <c r="L76" t="s">
        <v>74</v>
      </c>
      <c r="M76" t="s">
        <v>74</v>
      </c>
      <c r="N76" t="s">
        <v>74</v>
      </c>
      <c r="O76" t="s">
        <v>74</v>
      </c>
      <c r="P76" t="s">
        <v>74</v>
      </c>
      <c r="Q76" t="s">
        <v>74</v>
      </c>
      <c r="R76" t="s">
        <v>74</v>
      </c>
      <c r="S76" t="s">
        <v>74</v>
      </c>
      <c r="T76" t="s">
        <v>74</v>
      </c>
      <c r="U76" t="s">
        <v>74</v>
      </c>
      <c r="V76" t="s">
        <v>799</v>
      </c>
      <c r="W76" t="s">
        <v>74</v>
      </c>
      <c r="X76" t="s">
        <v>74</v>
      </c>
      <c r="Y76" t="s">
        <v>74</v>
      </c>
      <c r="Z76" t="s">
        <v>74</v>
      </c>
      <c r="AA76" t="s">
        <v>800</v>
      </c>
      <c r="AB76" t="s">
        <v>74</v>
      </c>
      <c r="AC76" t="s">
        <v>74</v>
      </c>
      <c r="AD76" t="s">
        <v>74</v>
      </c>
      <c r="AE76" t="s">
        <v>74</v>
      </c>
      <c r="AF76" t="s">
        <v>74</v>
      </c>
      <c r="AG76" t="s">
        <v>74</v>
      </c>
      <c r="AH76" t="s">
        <v>74</v>
      </c>
      <c r="AI76" t="s">
        <v>74</v>
      </c>
      <c r="AJ76" t="s">
        <v>74</v>
      </c>
      <c r="AK76" t="s">
        <v>74</v>
      </c>
      <c r="AL76" t="s">
        <v>74</v>
      </c>
      <c r="AM76" t="s">
        <v>74</v>
      </c>
      <c r="AN76" t="s">
        <v>74</v>
      </c>
      <c r="AO76" t="s">
        <v>175</v>
      </c>
      <c r="AP76" t="s">
        <v>176</v>
      </c>
      <c r="AQ76" t="s">
        <v>74</v>
      </c>
      <c r="AR76" t="s">
        <v>74</v>
      </c>
      <c r="AS76" t="s">
        <v>74</v>
      </c>
      <c r="AT76" t="s">
        <v>801</v>
      </c>
      <c r="AU76">
        <v>2026</v>
      </c>
      <c r="AV76">
        <v>1349</v>
      </c>
      <c r="AW76" t="s">
        <v>74</v>
      </c>
      <c r="AX76">
        <v>1</v>
      </c>
      <c r="AY76" t="s">
        <v>74</v>
      </c>
      <c r="AZ76" t="s">
        <v>74</v>
      </c>
      <c r="BA76" t="s">
        <v>74</v>
      </c>
      <c r="BB76" t="s">
        <v>74</v>
      </c>
      <c r="BC76" t="s">
        <v>74</v>
      </c>
      <c r="BD76">
        <v>143610</v>
      </c>
      <c r="BE76" t="s">
        <v>802</v>
      </c>
      <c r="BF76" t="str">
        <f>HYPERLINK("http://dx.doi.org/10.1016/j.molstruc.2025.143610","http://dx.doi.org/10.1016/j.molstruc.2025.143610")</f>
        <v>http://dx.doi.org/10.1016/j.molstruc.2025.143610</v>
      </c>
      <c r="BG76" t="s">
        <v>74</v>
      </c>
      <c r="BH76" t="s">
        <v>664</v>
      </c>
      <c r="BI76" t="s">
        <v>74</v>
      </c>
      <c r="BJ76" t="s">
        <v>74</v>
      </c>
      <c r="BK76" t="s">
        <v>74</v>
      </c>
      <c r="BL76" t="s">
        <v>74</v>
      </c>
      <c r="BM76" t="s">
        <v>74</v>
      </c>
      <c r="BN76" t="s">
        <v>74</v>
      </c>
      <c r="BO76" t="s">
        <v>74</v>
      </c>
      <c r="BP76" t="s">
        <v>74</v>
      </c>
      <c r="BQ76" t="s">
        <v>74</v>
      </c>
      <c r="BR76" t="s">
        <v>74</v>
      </c>
      <c r="BS76" t="s">
        <v>803</v>
      </c>
      <c r="BT76" t="str">
        <f>HYPERLINK("https%3A%2F%2Fwww.webofscience.com%2Fwos%2Fwoscc%2Ffull-record%2FWOS:001583097100012","View Full Record in Web of Science")</f>
        <v>View Full Record in Web of Science</v>
      </c>
    </row>
    <row r="77" spans="1:72" x14ac:dyDescent="0.2">
      <c r="A77" t="s">
        <v>72</v>
      </c>
      <c r="B77" t="s">
        <v>804</v>
      </c>
      <c r="C77" t="s">
        <v>74</v>
      </c>
      <c r="D77" t="s">
        <v>74</v>
      </c>
      <c r="E77" t="s">
        <v>74</v>
      </c>
      <c r="F77" t="s">
        <v>805</v>
      </c>
      <c r="G77" t="s">
        <v>74</v>
      </c>
      <c r="H77" t="s">
        <v>74</v>
      </c>
      <c r="I77" t="s">
        <v>806</v>
      </c>
      <c r="J77" t="s">
        <v>224</v>
      </c>
      <c r="K77" t="s">
        <v>74</v>
      </c>
      <c r="L77" t="s">
        <v>74</v>
      </c>
      <c r="M77" t="s">
        <v>74</v>
      </c>
      <c r="N77" t="s">
        <v>74</v>
      </c>
      <c r="O77" t="s">
        <v>74</v>
      </c>
      <c r="P77" t="s">
        <v>74</v>
      </c>
      <c r="Q77" t="s">
        <v>74</v>
      </c>
      <c r="R77" t="s">
        <v>74</v>
      </c>
      <c r="S77" t="s">
        <v>74</v>
      </c>
      <c r="T77" t="s">
        <v>74</v>
      </c>
      <c r="U77" t="s">
        <v>74</v>
      </c>
      <c r="V77" t="s">
        <v>807</v>
      </c>
      <c r="W77" t="s">
        <v>74</v>
      </c>
      <c r="X77" t="s">
        <v>74</v>
      </c>
      <c r="Y77" t="s">
        <v>74</v>
      </c>
      <c r="Z77" t="s">
        <v>74</v>
      </c>
      <c r="AA77" t="s">
        <v>74</v>
      </c>
      <c r="AB77" t="s">
        <v>74</v>
      </c>
      <c r="AC77" t="s">
        <v>74</v>
      </c>
      <c r="AD77" t="s">
        <v>74</v>
      </c>
      <c r="AE77" t="s">
        <v>74</v>
      </c>
      <c r="AF77" t="s">
        <v>74</v>
      </c>
      <c r="AG77" t="s">
        <v>74</v>
      </c>
      <c r="AH77" t="s">
        <v>74</v>
      </c>
      <c r="AI77" t="s">
        <v>74</v>
      </c>
      <c r="AJ77" t="s">
        <v>74</v>
      </c>
      <c r="AK77" t="s">
        <v>74</v>
      </c>
      <c r="AL77" t="s">
        <v>74</v>
      </c>
      <c r="AM77" t="s">
        <v>74</v>
      </c>
      <c r="AN77" t="s">
        <v>74</v>
      </c>
      <c r="AO77" t="s">
        <v>226</v>
      </c>
      <c r="AP77" t="s">
        <v>74</v>
      </c>
      <c r="AQ77" t="s">
        <v>74</v>
      </c>
      <c r="AR77" t="s">
        <v>74</v>
      </c>
      <c r="AS77" t="s">
        <v>74</v>
      </c>
      <c r="AT77" t="s">
        <v>808</v>
      </c>
      <c r="AU77">
        <v>2025</v>
      </c>
      <c r="AV77">
        <v>10</v>
      </c>
      <c r="AW77">
        <v>33</v>
      </c>
      <c r="AX77" t="s">
        <v>74</v>
      </c>
      <c r="AY77" t="s">
        <v>74</v>
      </c>
      <c r="AZ77" t="s">
        <v>74</v>
      </c>
      <c r="BA77" t="s">
        <v>74</v>
      </c>
      <c r="BB77">
        <v>38002</v>
      </c>
      <c r="BC77">
        <v>38013</v>
      </c>
      <c r="BD77" t="s">
        <v>74</v>
      </c>
      <c r="BE77" t="s">
        <v>809</v>
      </c>
      <c r="BF77" t="str">
        <f>HYPERLINK("http://dx.doi.org/10.1021/acsomega.5c05212","http://dx.doi.org/10.1021/acsomega.5c05212")</f>
        <v>http://dx.doi.org/10.1021/acsomega.5c05212</v>
      </c>
      <c r="BG77" t="s">
        <v>74</v>
      </c>
      <c r="BH77" t="s">
        <v>664</v>
      </c>
      <c r="BI77" t="s">
        <v>74</v>
      </c>
      <c r="BJ77" t="s">
        <v>74</v>
      </c>
      <c r="BK77" t="s">
        <v>74</v>
      </c>
      <c r="BL77" t="s">
        <v>74</v>
      </c>
      <c r="BM77" t="s">
        <v>74</v>
      </c>
      <c r="BN77">
        <v>40893313</v>
      </c>
      <c r="BO77" t="s">
        <v>74</v>
      </c>
      <c r="BP77" t="s">
        <v>74</v>
      </c>
      <c r="BQ77" t="s">
        <v>74</v>
      </c>
      <c r="BR77" t="s">
        <v>74</v>
      </c>
      <c r="BS77" t="s">
        <v>810</v>
      </c>
      <c r="BT77" t="str">
        <f>HYPERLINK("https%3A%2F%2Fwww.webofscience.com%2Fwos%2Fwoscc%2Ffull-record%2FWOS:001551096500001","View Full Record in Web of Science")</f>
        <v>View Full Record in Web of Science</v>
      </c>
    </row>
    <row r="78" spans="1:72" x14ac:dyDescent="0.2">
      <c r="A78" t="s">
        <v>72</v>
      </c>
      <c r="B78" t="s">
        <v>811</v>
      </c>
      <c r="C78" t="s">
        <v>74</v>
      </c>
      <c r="D78" t="s">
        <v>74</v>
      </c>
      <c r="E78" t="s">
        <v>74</v>
      </c>
      <c r="F78" t="s">
        <v>812</v>
      </c>
      <c r="G78" t="s">
        <v>74</v>
      </c>
      <c r="H78" t="s">
        <v>74</v>
      </c>
      <c r="I78" t="s">
        <v>813</v>
      </c>
      <c r="J78" t="s">
        <v>214</v>
      </c>
      <c r="K78" t="s">
        <v>74</v>
      </c>
      <c r="L78" t="s">
        <v>74</v>
      </c>
      <c r="M78" t="s">
        <v>74</v>
      </c>
      <c r="N78" t="s">
        <v>74</v>
      </c>
      <c r="O78" t="s">
        <v>74</v>
      </c>
      <c r="P78" t="s">
        <v>74</v>
      </c>
      <c r="Q78" t="s">
        <v>74</v>
      </c>
      <c r="R78" t="s">
        <v>74</v>
      </c>
      <c r="S78" t="s">
        <v>74</v>
      </c>
      <c r="T78" t="s">
        <v>74</v>
      </c>
      <c r="U78" t="s">
        <v>74</v>
      </c>
      <c r="V78" t="s">
        <v>814</v>
      </c>
      <c r="W78" t="s">
        <v>74</v>
      </c>
      <c r="X78" t="s">
        <v>74</v>
      </c>
      <c r="Y78" t="s">
        <v>74</v>
      </c>
      <c r="Z78" t="s">
        <v>74</v>
      </c>
      <c r="AA78" t="s">
        <v>815</v>
      </c>
      <c r="AB78" t="s">
        <v>74</v>
      </c>
      <c r="AC78" t="s">
        <v>74</v>
      </c>
      <c r="AD78" t="s">
        <v>74</v>
      </c>
      <c r="AE78" t="s">
        <v>74</v>
      </c>
      <c r="AF78" t="s">
        <v>74</v>
      </c>
      <c r="AG78" t="s">
        <v>74</v>
      </c>
      <c r="AH78" t="s">
        <v>74</v>
      </c>
      <c r="AI78" t="s">
        <v>74</v>
      </c>
      <c r="AJ78" t="s">
        <v>74</v>
      </c>
      <c r="AK78" t="s">
        <v>74</v>
      </c>
      <c r="AL78" t="s">
        <v>74</v>
      </c>
      <c r="AM78" t="s">
        <v>74</v>
      </c>
      <c r="AN78" t="s">
        <v>74</v>
      </c>
      <c r="AO78" t="s">
        <v>74</v>
      </c>
      <c r="AP78" t="s">
        <v>216</v>
      </c>
      <c r="AQ78" t="s">
        <v>74</v>
      </c>
      <c r="AR78" t="s">
        <v>74</v>
      </c>
      <c r="AS78" t="s">
        <v>74</v>
      </c>
      <c r="AT78" t="s">
        <v>816</v>
      </c>
      <c r="AU78">
        <v>2025</v>
      </c>
      <c r="AV78">
        <v>64</v>
      </c>
      <c r="AW78">
        <v>40</v>
      </c>
      <c r="AX78" t="s">
        <v>74</v>
      </c>
      <c r="AY78" t="s">
        <v>74</v>
      </c>
      <c r="AZ78" t="s">
        <v>74</v>
      </c>
      <c r="BA78" t="s">
        <v>74</v>
      </c>
      <c r="BB78" t="s">
        <v>74</v>
      </c>
      <c r="BC78" t="s">
        <v>74</v>
      </c>
      <c r="BD78" t="s">
        <v>74</v>
      </c>
      <c r="BE78" t="s">
        <v>817</v>
      </c>
      <c r="BF78" t="str">
        <f>HYPERLINK("http://dx.doi.org/10.1002/anie.202512956","http://dx.doi.org/10.1002/anie.202512956")</f>
        <v>http://dx.doi.org/10.1002/anie.202512956</v>
      </c>
      <c r="BG78" t="s">
        <v>74</v>
      </c>
      <c r="BH78" t="s">
        <v>664</v>
      </c>
      <c r="BI78" t="s">
        <v>74</v>
      </c>
      <c r="BJ78" t="s">
        <v>74</v>
      </c>
      <c r="BK78" t="s">
        <v>74</v>
      </c>
      <c r="BL78" t="s">
        <v>74</v>
      </c>
      <c r="BM78" t="s">
        <v>74</v>
      </c>
      <c r="BN78">
        <v>40810424</v>
      </c>
      <c r="BO78" t="s">
        <v>74</v>
      </c>
      <c r="BP78" t="s">
        <v>74</v>
      </c>
      <c r="BQ78" t="s">
        <v>74</v>
      </c>
      <c r="BR78" t="s">
        <v>74</v>
      </c>
      <c r="BS78" t="s">
        <v>818</v>
      </c>
      <c r="BT78" t="str">
        <f>HYPERLINK("https%3A%2F%2Fwww.webofscience.com%2Fwos%2Fwoscc%2Ffull-record%2FWOS:001549879700001","View Full Record in Web of Science")</f>
        <v>View Full Record in Web of Science</v>
      </c>
    </row>
    <row r="79" spans="1:72" x14ac:dyDescent="0.2">
      <c r="A79" t="s">
        <v>72</v>
      </c>
      <c r="B79" t="s">
        <v>819</v>
      </c>
      <c r="C79" t="s">
        <v>74</v>
      </c>
      <c r="D79" t="s">
        <v>74</v>
      </c>
      <c r="E79" t="s">
        <v>74</v>
      </c>
      <c r="F79" t="s">
        <v>820</v>
      </c>
      <c r="G79" t="s">
        <v>74</v>
      </c>
      <c r="H79" t="s">
        <v>74</v>
      </c>
      <c r="I79" t="s">
        <v>821</v>
      </c>
      <c r="J79" t="s">
        <v>413</v>
      </c>
      <c r="K79" t="s">
        <v>74</v>
      </c>
      <c r="L79" t="s">
        <v>74</v>
      </c>
      <c r="M79" t="s">
        <v>74</v>
      </c>
      <c r="N79" t="s">
        <v>74</v>
      </c>
      <c r="O79" t="s">
        <v>74</v>
      </c>
      <c r="P79" t="s">
        <v>74</v>
      </c>
      <c r="Q79" t="s">
        <v>74</v>
      </c>
      <c r="R79" t="s">
        <v>74</v>
      </c>
      <c r="S79" t="s">
        <v>74</v>
      </c>
      <c r="T79" t="s">
        <v>74</v>
      </c>
      <c r="U79" t="s">
        <v>74</v>
      </c>
      <c r="V79" t="s">
        <v>822</v>
      </c>
      <c r="W79" t="s">
        <v>74</v>
      </c>
      <c r="X79" t="s">
        <v>74</v>
      </c>
      <c r="Y79" t="s">
        <v>74</v>
      </c>
      <c r="Z79" t="s">
        <v>74</v>
      </c>
      <c r="AA79" t="s">
        <v>823</v>
      </c>
      <c r="AB79" t="s">
        <v>74</v>
      </c>
      <c r="AC79" t="s">
        <v>74</v>
      </c>
      <c r="AD79" t="s">
        <v>74</v>
      </c>
      <c r="AE79" t="s">
        <v>74</v>
      </c>
      <c r="AF79" t="s">
        <v>74</v>
      </c>
      <c r="AG79" t="s">
        <v>74</v>
      </c>
      <c r="AH79" t="s">
        <v>74</v>
      </c>
      <c r="AI79" t="s">
        <v>74</v>
      </c>
      <c r="AJ79" t="s">
        <v>74</v>
      </c>
      <c r="AK79" t="s">
        <v>74</v>
      </c>
      <c r="AL79" t="s">
        <v>74</v>
      </c>
      <c r="AM79" t="s">
        <v>74</v>
      </c>
      <c r="AN79" t="s">
        <v>74</v>
      </c>
      <c r="AO79" t="s">
        <v>417</v>
      </c>
      <c r="AP79" t="s">
        <v>418</v>
      </c>
      <c r="AQ79" t="s">
        <v>74</v>
      </c>
      <c r="AR79" t="s">
        <v>74</v>
      </c>
      <c r="AS79" t="s">
        <v>74</v>
      </c>
      <c r="AT79" t="s">
        <v>793</v>
      </c>
      <c r="AU79">
        <v>2025</v>
      </c>
      <c r="AV79">
        <v>147</v>
      </c>
      <c r="AW79">
        <v>34</v>
      </c>
      <c r="AX79" t="s">
        <v>74</v>
      </c>
      <c r="AY79" t="s">
        <v>74</v>
      </c>
      <c r="AZ79" t="s">
        <v>74</v>
      </c>
      <c r="BA79" t="s">
        <v>74</v>
      </c>
      <c r="BB79">
        <v>31085</v>
      </c>
      <c r="BC79">
        <v>31090</v>
      </c>
      <c r="BD79" t="s">
        <v>74</v>
      </c>
      <c r="BE79" t="s">
        <v>824</v>
      </c>
      <c r="BF79" t="str">
        <f>HYPERLINK("http://dx.doi.org/10.1021/jacs.5c09442","http://dx.doi.org/10.1021/jacs.5c09442")</f>
        <v>http://dx.doi.org/10.1021/jacs.5c09442</v>
      </c>
      <c r="BG79" t="s">
        <v>74</v>
      </c>
      <c r="BH79" t="s">
        <v>664</v>
      </c>
      <c r="BI79" t="s">
        <v>74</v>
      </c>
      <c r="BJ79" t="s">
        <v>74</v>
      </c>
      <c r="BK79" t="s">
        <v>74</v>
      </c>
      <c r="BL79" t="s">
        <v>74</v>
      </c>
      <c r="BM79" t="s">
        <v>74</v>
      </c>
      <c r="BN79">
        <v>40811650</v>
      </c>
      <c r="BO79" t="s">
        <v>74</v>
      </c>
      <c r="BP79" t="s">
        <v>74</v>
      </c>
      <c r="BQ79" t="s">
        <v>74</v>
      </c>
      <c r="BR79" t="s">
        <v>74</v>
      </c>
      <c r="BS79" t="s">
        <v>825</v>
      </c>
      <c r="BT79" t="str">
        <f>HYPERLINK("https%3A%2F%2Fwww.webofscience.com%2Fwos%2Fwoscc%2Ffull-record%2FWOS:001550174500001","View Full Record in Web of Science")</f>
        <v>View Full Record in Web of Science</v>
      </c>
    </row>
    <row r="80" spans="1:72" x14ac:dyDescent="0.2">
      <c r="A80" t="s">
        <v>72</v>
      </c>
      <c r="B80" t="s">
        <v>826</v>
      </c>
      <c r="C80" t="s">
        <v>74</v>
      </c>
      <c r="D80" t="s">
        <v>74</v>
      </c>
      <c r="E80" t="s">
        <v>74</v>
      </c>
      <c r="F80" t="s">
        <v>827</v>
      </c>
      <c r="G80" t="s">
        <v>74</v>
      </c>
      <c r="H80" t="s">
        <v>74</v>
      </c>
      <c r="I80" t="s">
        <v>828</v>
      </c>
      <c r="J80" t="s">
        <v>224</v>
      </c>
      <c r="K80" t="s">
        <v>74</v>
      </c>
      <c r="L80" t="s">
        <v>74</v>
      </c>
      <c r="M80" t="s">
        <v>74</v>
      </c>
      <c r="N80" t="s">
        <v>74</v>
      </c>
      <c r="O80" t="s">
        <v>74</v>
      </c>
      <c r="P80" t="s">
        <v>74</v>
      </c>
      <c r="Q80" t="s">
        <v>74</v>
      </c>
      <c r="R80" t="s">
        <v>74</v>
      </c>
      <c r="S80" t="s">
        <v>74</v>
      </c>
      <c r="T80" t="s">
        <v>74</v>
      </c>
      <c r="U80" t="s">
        <v>74</v>
      </c>
      <c r="V80" t="s">
        <v>829</v>
      </c>
      <c r="W80" t="s">
        <v>74</v>
      </c>
      <c r="X80" t="s">
        <v>74</v>
      </c>
      <c r="Y80" t="s">
        <v>74</v>
      </c>
      <c r="Z80" t="s">
        <v>74</v>
      </c>
      <c r="AA80" t="s">
        <v>830</v>
      </c>
      <c r="AB80" t="s">
        <v>74</v>
      </c>
      <c r="AC80" t="s">
        <v>74</v>
      </c>
      <c r="AD80" t="s">
        <v>74</v>
      </c>
      <c r="AE80" t="s">
        <v>74</v>
      </c>
      <c r="AF80" t="s">
        <v>74</v>
      </c>
      <c r="AG80" t="s">
        <v>74</v>
      </c>
      <c r="AH80" t="s">
        <v>74</v>
      </c>
      <c r="AI80" t="s">
        <v>74</v>
      </c>
      <c r="AJ80" t="s">
        <v>74</v>
      </c>
      <c r="AK80" t="s">
        <v>74</v>
      </c>
      <c r="AL80" t="s">
        <v>74</v>
      </c>
      <c r="AM80" t="s">
        <v>74</v>
      </c>
      <c r="AN80" t="s">
        <v>74</v>
      </c>
      <c r="AO80" t="s">
        <v>226</v>
      </c>
      <c r="AP80" t="s">
        <v>74</v>
      </c>
      <c r="AQ80" t="s">
        <v>74</v>
      </c>
      <c r="AR80" t="s">
        <v>74</v>
      </c>
      <c r="AS80" t="s">
        <v>74</v>
      </c>
      <c r="AT80" t="s">
        <v>808</v>
      </c>
      <c r="AU80">
        <v>2025</v>
      </c>
      <c r="AV80">
        <v>10</v>
      </c>
      <c r="AW80">
        <v>33</v>
      </c>
      <c r="AX80" t="s">
        <v>74</v>
      </c>
      <c r="AY80" t="s">
        <v>74</v>
      </c>
      <c r="AZ80" t="s">
        <v>74</v>
      </c>
      <c r="BA80" t="s">
        <v>74</v>
      </c>
      <c r="BB80">
        <v>37950</v>
      </c>
      <c r="BC80">
        <v>37960</v>
      </c>
      <c r="BD80" t="s">
        <v>74</v>
      </c>
      <c r="BE80" t="s">
        <v>831</v>
      </c>
      <c r="BF80" t="str">
        <f>HYPERLINK("http://dx.doi.org/10.1021/acsomega.5c05082","http://dx.doi.org/10.1021/acsomega.5c05082")</f>
        <v>http://dx.doi.org/10.1021/acsomega.5c05082</v>
      </c>
      <c r="BG80" t="s">
        <v>74</v>
      </c>
      <c r="BH80" t="s">
        <v>664</v>
      </c>
      <c r="BI80" t="s">
        <v>74</v>
      </c>
      <c r="BJ80" t="s">
        <v>74</v>
      </c>
      <c r="BK80" t="s">
        <v>74</v>
      </c>
      <c r="BL80" t="s">
        <v>74</v>
      </c>
      <c r="BM80" t="s">
        <v>74</v>
      </c>
      <c r="BN80">
        <v>40893271</v>
      </c>
      <c r="BO80" t="s">
        <v>74</v>
      </c>
      <c r="BP80" t="s">
        <v>74</v>
      </c>
      <c r="BQ80" t="s">
        <v>74</v>
      </c>
      <c r="BR80" t="s">
        <v>74</v>
      </c>
      <c r="BS80" t="s">
        <v>832</v>
      </c>
      <c r="BT80" t="str">
        <f>HYPERLINK("https%3A%2F%2Fwww.webofscience.com%2Fwos%2Fwoscc%2Ffull-record%2FWOS:001548369700001","View Full Record in Web of Science")</f>
        <v>View Full Record in Web of Science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Ruikang Li</dc:creator>
  <cp:lastModifiedBy>Ruikang Li</cp:lastModifiedBy>
  <dcterms:created xsi:type="dcterms:W3CDTF">2025-10-27T11:21:18Z</dcterms:created>
  <dcterms:modified xsi:type="dcterms:W3CDTF">2025-10-27T11:21:54Z</dcterms:modified>
</cp:coreProperties>
</file>